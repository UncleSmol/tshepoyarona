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 Talane\Desktop\Thsepo Ya Rona\tshepoyarona\src\assets\"/>
    </mc:Choice>
  </mc:AlternateContent>
  <bookViews>
    <workbookView xWindow="0" yWindow="0" windowWidth="20490" windowHeight="7050"/>
  </bookViews>
  <sheets>
    <sheet name="Clocking Sheet" sheetId="1" r:id="rId1"/>
  </sheets>
  <definedNames>
    <definedName name="_xlnm.Print_Area" localSheetId="0">'Clocking Sheet'!$A$1:$M$43</definedName>
  </definedNames>
  <calcPr calcId="162913"/>
</workbook>
</file>

<file path=xl/calcChain.xml><?xml version="1.0" encoding="utf-8"?>
<calcChain xmlns="http://schemas.openxmlformats.org/spreadsheetml/2006/main">
  <c r="A38" i="1" l="1"/>
  <c r="B38" i="1" s="1"/>
  <c r="A37" i="1"/>
  <c r="B37" i="1" s="1"/>
  <c r="A36" i="1"/>
  <c r="B36" i="1" s="1"/>
  <c r="A35" i="1"/>
  <c r="B35" i="1" s="1"/>
  <c r="A34" i="1"/>
  <c r="B34" i="1" s="1"/>
  <c r="A33" i="1"/>
  <c r="B33" i="1" s="1"/>
  <c r="A32" i="1"/>
  <c r="B32" i="1" s="1"/>
  <c r="A31" i="1"/>
  <c r="B31" i="1" s="1"/>
  <c r="A30" i="1"/>
  <c r="B30" i="1" s="1"/>
  <c r="A29" i="1"/>
  <c r="B29" i="1" s="1"/>
  <c r="A28" i="1"/>
  <c r="B28" i="1" s="1"/>
  <c r="A27" i="1"/>
  <c r="B27" i="1" s="1"/>
  <c r="A26" i="1"/>
  <c r="B26" i="1" s="1"/>
  <c r="A25" i="1"/>
  <c r="B25" i="1" s="1"/>
  <c r="A24" i="1"/>
  <c r="B24" i="1" s="1"/>
  <c r="A23" i="1"/>
  <c r="B23" i="1" s="1"/>
  <c r="A22" i="1"/>
  <c r="B22" i="1" s="1"/>
  <c r="A21" i="1"/>
  <c r="B21" i="1" s="1"/>
  <c r="A20" i="1"/>
  <c r="B20" i="1" s="1"/>
  <c r="A19" i="1"/>
  <c r="B19" i="1" s="1"/>
  <c r="A18" i="1"/>
  <c r="B18" i="1" s="1"/>
  <c r="A17" i="1"/>
  <c r="B17" i="1" s="1"/>
  <c r="A16" i="1"/>
  <c r="B16" i="1" s="1"/>
  <c r="A15" i="1"/>
  <c r="B15" i="1" s="1"/>
  <c r="A14" i="1"/>
  <c r="B14" i="1" s="1"/>
  <c r="A13" i="1"/>
  <c r="B13" i="1" s="1"/>
  <c r="A12" i="1"/>
  <c r="B12" i="1" s="1"/>
  <c r="A11" i="1"/>
  <c r="B11" i="1" s="1"/>
  <c r="A10" i="1"/>
  <c r="B10" i="1" s="1"/>
  <c r="A9" i="1"/>
  <c r="B9" i="1" s="1"/>
</calcChain>
</file>

<file path=xl/sharedStrings.xml><?xml version="1.0" encoding="utf-8"?>
<sst xmlns="http://schemas.openxmlformats.org/spreadsheetml/2006/main" count="22" uniqueCount="16">
  <si>
    <t>November</t>
  </si>
  <si>
    <t>Date</t>
  </si>
  <si>
    <t>Day</t>
  </si>
  <si>
    <t>Time In</t>
  </si>
  <si>
    <t>Time Out</t>
  </si>
  <si>
    <t>Payroll Period:</t>
  </si>
  <si>
    <t>EMPLOYEE CLOCKINGS</t>
  </si>
  <si>
    <t>MONTHLY ATTENDANCE REGISTER</t>
  </si>
  <si>
    <t>N.D KHOZA</t>
  </si>
  <si>
    <t>T.E MAKHUBELA</t>
  </si>
  <si>
    <t>L.E MASILELA</t>
  </si>
  <si>
    <t>W.M HLATSHWAYO</t>
  </si>
  <si>
    <t>SIGN IN</t>
  </si>
  <si>
    <t>SIGN OUT</t>
  </si>
  <si>
    <t>HR REP</t>
  </si>
  <si>
    <t>Operations Manager (Sizwe Hlatshwayo)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</si>
</sst>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3CAEAC"/>
      <name val="Calibri"/>
      <family val="2"/>
      <scheme val="minor"/>
    </font>
    <font>
      <b/>
      <sz val="13"/>
      <color rgb="FF3CAEAC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CAEAC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1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4" fontId="0" fillId="2" borderId="6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7" xfId="0" applyBorder="1"/>
    <xf numFmtId="14" fontId="0" fillId="2" borderId="8" xfId="0" applyNumberFormat="1" applyFont="1" applyFill="1" applyBorder="1" applyAlignment="1">
      <alignment horizontal="center" vertical="center"/>
    </xf>
    <xf numFmtId="14" fontId="0" fillId="2" borderId="3" xfId="0" applyNumberFormat="1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0" borderId="5" xfId="0" applyBorder="1"/>
    <xf numFmtId="0" fontId="0" fillId="2" borderId="11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0" fillId="0" borderId="6" xfId="0" applyBorder="1"/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11" xfId="0" applyBorder="1"/>
    <xf numFmtId="0" fontId="0" fillId="2" borderId="6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textRotation="45"/>
    </xf>
    <xf numFmtId="0" fontId="3" fillId="2" borderId="12" xfId="0" applyFont="1" applyFill="1" applyBorder="1" applyAlignment="1">
      <alignment horizontal="center" vertical="center" textRotation="45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12" xfId="0" applyNumberFormat="1" applyFont="1" applyFill="1" applyBorder="1" applyAlignment="1">
      <alignment horizontal="center" vertical="center"/>
    </xf>
    <xf numFmtId="14" fontId="0" fillId="2" borderId="25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0" fillId="3" borderId="19" xfId="0" applyFill="1" applyBorder="1"/>
    <xf numFmtId="0" fontId="0" fillId="3" borderId="7" xfId="0" applyFill="1" applyBorder="1"/>
    <xf numFmtId="0" fontId="0" fillId="3" borderId="0" xfId="0" applyFill="1" applyBorder="1"/>
    <xf numFmtId="0" fontId="0" fillId="3" borderId="11" xfId="0" applyFill="1" applyBorder="1"/>
    <xf numFmtId="0" fontId="0" fillId="3" borderId="22" xfId="0" applyFill="1" applyBorder="1"/>
    <xf numFmtId="0" fontId="0" fillId="3" borderId="21" xfId="0" applyFill="1" applyBorder="1"/>
    <xf numFmtId="0" fontId="0" fillId="3" borderId="23" xfId="0" applyFill="1" applyBorder="1"/>
    <xf numFmtId="0" fontId="0" fillId="3" borderId="24" xfId="0" applyFill="1" applyBorder="1"/>
    <xf numFmtId="0" fontId="5" fillId="0" borderId="0" xfId="2" applyFont="1" applyBorder="1"/>
    <xf numFmtId="0" fontId="0" fillId="0" borderId="0" xfId="0" applyBorder="1" applyAlignment="1">
      <alignment horizontal="center"/>
    </xf>
    <xf numFmtId="14" fontId="0" fillId="3" borderId="8" xfId="0" applyNumberFormat="1" applyFont="1" applyFill="1" applyBorder="1" applyAlignment="1">
      <alignment horizontal="center" vertical="center"/>
    </xf>
    <xf numFmtId="14" fontId="0" fillId="3" borderId="25" xfId="0" applyNumberFormat="1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4" fontId="0" fillId="3" borderId="6" xfId="0" applyNumberFormat="1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0" borderId="26" xfId="0" applyBorder="1"/>
    <xf numFmtId="0" fontId="0" fillId="0" borderId="0" xfId="0" applyAlignment="1">
      <alignment horizontal="left"/>
    </xf>
    <xf numFmtId="0" fontId="0" fillId="0" borderId="22" xfId="0" applyFill="1" applyBorder="1"/>
    <xf numFmtId="0" fontId="0" fillId="0" borderId="21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19" xfId="0" applyFill="1" applyBorder="1"/>
    <xf numFmtId="0" fontId="0" fillId="0" borderId="7" xfId="0" applyFill="1" applyBorder="1"/>
    <xf numFmtId="0" fontId="0" fillId="0" borderId="0" xfId="0" applyFill="1" applyBorder="1"/>
    <xf numFmtId="0" fontId="0" fillId="0" borderId="11" xfId="0" applyFill="1" applyBorder="1"/>
    <xf numFmtId="0" fontId="0" fillId="3" borderId="8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3" borderId="10" xfId="0" applyFill="1" applyBorder="1"/>
    <xf numFmtId="0" fontId="0" fillId="3" borderId="9" xfId="0" applyFill="1" applyBorder="1"/>
    <xf numFmtId="0" fontId="0" fillId="3" borderId="13" xfId="0" applyFill="1" applyBorder="1"/>
    <xf numFmtId="0" fontId="0" fillId="0" borderId="27" xfId="0" applyBorder="1" applyAlignment="1"/>
  </cellXfs>
  <cellStyles count="3">
    <cellStyle name="Heading 2" xfId="2" builtinId="17"/>
    <cellStyle name="Normal" xfId="0" builtinId="0"/>
    <cellStyle name="Title" xfId="1" builtinId="15"/>
  </cellStyles>
  <dxfs count="0"/>
  <tableStyles count="0" defaultTableStyle="TableStyleMedium9" defaultPivotStyle="PivotStyleLight16"/>
  <colors>
    <mruColors>
      <color rgb="FF3CA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999205</xdr:colOff>
      <xdr:row>1</xdr:row>
      <xdr:rowOff>11206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39529" cy="773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tabSelected="1" view="pageBreakPreview" topLeftCell="A4" zoomScale="85" zoomScaleNormal="100" zoomScaleSheetLayoutView="85" zoomScalePageLayoutView="85" workbookViewId="0">
      <selection activeCell="I26" sqref="I26"/>
    </sheetView>
  </sheetViews>
  <sheetFormatPr defaultColWidth="9.140625" defaultRowHeight="15" x14ac:dyDescent="0.25"/>
  <cols>
    <col min="1" max="1" width="18" customWidth="1"/>
    <col min="2" max="2" width="14.140625" customWidth="1"/>
    <col min="3" max="10" width="15.7109375" customWidth="1"/>
    <col min="11" max="12" width="19.85546875" hidden="1" customWidth="1"/>
  </cols>
  <sheetData>
    <row r="1" spans="1:13" ht="60" customHeight="1" x14ac:dyDescent="0.3">
      <c r="A1" s="3"/>
      <c r="B1" s="3"/>
      <c r="C1" s="6" t="s">
        <v>7</v>
      </c>
      <c r="D1" s="6"/>
      <c r="E1" s="6"/>
      <c r="F1" s="6"/>
      <c r="G1" s="6"/>
      <c r="H1" s="6"/>
      <c r="I1" s="6"/>
      <c r="J1" s="6"/>
    </row>
    <row r="2" spans="1:13" ht="17.25" x14ac:dyDescent="0.3">
      <c r="A2" s="53" t="s">
        <v>5</v>
      </c>
      <c r="B2" s="4" t="s">
        <v>0</v>
      </c>
      <c r="C2" s="5">
        <v>2025</v>
      </c>
      <c r="D2" s="2"/>
      <c r="E2" s="2"/>
      <c r="F2" s="2"/>
      <c r="G2" s="2"/>
      <c r="H2" s="2"/>
      <c r="I2" s="2"/>
      <c r="J2" s="2"/>
      <c r="K2" s="2"/>
      <c r="L2" s="2"/>
    </row>
    <row r="3" spans="1:13" ht="9.75" customHeight="1" x14ac:dyDescent="0.3">
      <c r="A3" s="53"/>
      <c r="B3" s="4"/>
      <c r="C3" s="5"/>
      <c r="D3" s="1"/>
      <c r="E3" s="54"/>
      <c r="F3" s="1"/>
      <c r="G3" s="1"/>
      <c r="H3" s="1"/>
      <c r="I3" s="1"/>
      <c r="J3" s="1"/>
      <c r="K3" s="1"/>
      <c r="L3" s="1"/>
    </row>
    <row r="4" spans="1:13" s="44" customFormat="1" ht="18.75" customHeight="1" x14ac:dyDescent="0.25"/>
    <row r="5" spans="1:13" s="44" customFormat="1" ht="0.75" customHeight="1" thickBot="1" x14ac:dyDescent="0.3"/>
    <row r="6" spans="1:13" ht="22.5" thickTop="1" thickBot="1" x14ac:dyDescent="0.4">
      <c r="A6" s="7" t="s">
        <v>1</v>
      </c>
      <c r="B6" s="7" t="s">
        <v>2</v>
      </c>
      <c r="C6" s="37" t="s">
        <v>6</v>
      </c>
      <c r="D6" s="8"/>
      <c r="E6" s="8"/>
      <c r="F6" s="8"/>
      <c r="G6" s="8"/>
      <c r="H6" s="8"/>
      <c r="I6" s="8"/>
      <c r="J6" s="8"/>
      <c r="K6" s="8"/>
      <c r="L6" s="9"/>
      <c r="M6" s="23"/>
    </row>
    <row r="7" spans="1:13" ht="29.25" customHeight="1" thickTop="1" x14ac:dyDescent="0.25">
      <c r="A7" s="10"/>
      <c r="B7" s="10"/>
      <c r="C7" s="24" t="s">
        <v>8</v>
      </c>
      <c r="D7" s="26"/>
      <c r="E7" s="24" t="s">
        <v>9</v>
      </c>
      <c r="F7" s="25"/>
      <c r="G7" s="26" t="s">
        <v>10</v>
      </c>
      <c r="H7" s="25"/>
      <c r="I7" s="24" t="s">
        <v>11</v>
      </c>
      <c r="J7" s="25"/>
      <c r="K7" s="39" t="s">
        <v>12</v>
      </c>
      <c r="L7" s="39" t="s">
        <v>13</v>
      </c>
      <c r="M7" s="23"/>
    </row>
    <row r="8" spans="1:13" ht="15.75" thickBot="1" x14ac:dyDescent="0.3">
      <c r="A8" s="11"/>
      <c r="B8" s="11"/>
      <c r="C8" s="27" t="s">
        <v>3</v>
      </c>
      <c r="D8" s="12" t="s">
        <v>4</v>
      </c>
      <c r="E8" s="27" t="s">
        <v>3</v>
      </c>
      <c r="F8" s="13" t="s">
        <v>4</v>
      </c>
      <c r="G8" s="27" t="s">
        <v>3</v>
      </c>
      <c r="H8" s="13" t="s">
        <v>4</v>
      </c>
      <c r="I8" s="27" t="s">
        <v>3</v>
      </c>
      <c r="J8" s="13" t="s">
        <v>4</v>
      </c>
      <c r="K8" s="38"/>
      <c r="L8" s="38"/>
      <c r="M8" s="23"/>
    </row>
    <row r="9" spans="1:13" ht="20.100000000000001" customHeight="1" thickTop="1" thickBot="1" x14ac:dyDescent="0.3">
      <c r="A9" s="41">
        <f ca="1">DATE(YEAR(TODAY()),MATCH(B2,{"January","February","March","April","May","June","July","August","September","October","November","December"},0),1)</f>
        <v>45962</v>
      </c>
      <c r="B9" s="36" t="str">
        <f ca="1">TEXT(A9,"ddd")</f>
        <v>Sat</v>
      </c>
      <c r="C9" s="28"/>
      <c r="D9" s="20"/>
      <c r="E9" s="29"/>
      <c r="F9" s="15"/>
      <c r="G9" s="28"/>
      <c r="H9" s="20"/>
      <c r="I9" s="29"/>
      <c r="J9" s="16"/>
      <c r="K9" s="30"/>
      <c r="L9" s="30"/>
      <c r="M9" s="23"/>
    </row>
    <row r="10" spans="1:13" ht="20.100000000000001" customHeight="1" thickTop="1" thickBot="1" x14ac:dyDescent="0.3">
      <c r="A10" s="56">
        <f ca="1">DATE(YEAR(TODAY()),MATCH(B2,{"January","February","March","April","May","June","July","August","September","October","November","December"},0),2)</f>
        <v>45963</v>
      </c>
      <c r="B10" s="57" t="str">
        <f ca="1">TEXT(A10,"ddd")</f>
        <v>Sun</v>
      </c>
      <c r="C10" s="49"/>
      <c r="D10" s="50"/>
      <c r="E10" s="49"/>
      <c r="F10" s="51"/>
      <c r="G10" s="49"/>
      <c r="H10" s="50"/>
      <c r="I10" s="49"/>
      <c r="J10" s="50"/>
      <c r="K10" s="52"/>
      <c r="L10" s="52"/>
      <c r="M10" s="23"/>
    </row>
    <row r="11" spans="1:13" ht="20.100000000000001" customHeight="1" thickTop="1" thickBot="1" x14ac:dyDescent="0.3">
      <c r="A11" s="18">
        <f ca="1">DATE(YEAR(TODAY()),MATCH(B2,{"January","February","March","April","May","June","July","August","September","October","November","December"},0),3)</f>
        <v>45964</v>
      </c>
      <c r="B11" s="19" t="str">
        <f ca="1">TEXT(A11,"ddd")</f>
        <v>Mon</v>
      </c>
      <c r="C11" s="29"/>
      <c r="D11" s="16"/>
      <c r="E11" s="29"/>
      <c r="F11" s="15"/>
      <c r="G11" s="29"/>
      <c r="H11" s="16"/>
      <c r="I11" s="29"/>
      <c r="J11" s="16"/>
      <c r="K11" s="30"/>
      <c r="L11" s="30"/>
      <c r="M11" s="23"/>
    </row>
    <row r="12" spans="1:13" ht="20.100000000000001" customHeight="1" thickTop="1" thickBot="1" x14ac:dyDescent="0.3">
      <c r="A12" s="42">
        <f ca="1">DATE(YEAR(TODAY()),MATCH(B2,{"January","February","March","April","May","June","July","August","September","October","November","December"},0),4)</f>
        <v>45965</v>
      </c>
      <c r="B12" s="43" t="str">
        <f ca="1">TEXT(A12,"ddd")</f>
        <v>Tue</v>
      </c>
      <c r="C12" s="33"/>
      <c r="D12" s="32"/>
      <c r="E12" s="33"/>
      <c r="F12" s="34"/>
      <c r="G12" s="33"/>
      <c r="H12" s="32"/>
      <c r="I12" s="33"/>
      <c r="J12" s="32"/>
      <c r="K12" s="35"/>
      <c r="L12" s="35"/>
      <c r="M12" s="23"/>
    </row>
    <row r="13" spans="1:13" ht="20.100000000000001" customHeight="1" thickTop="1" thickBot="1" x14ac:dyDescent="0.3">
      <c r="A13" s="14">
        <f ca="1">DATE(YEAR(TODAY()),MATCH(B2,{"January","February","March","April","May","June","July","August","September","October","November","December"},0),5)</f>
        <v>45966</v>
      </c>
      <c r="B13" s="21" t="str">
        <f ca="1">TEXT(A13,"ddd")</f>
        <v>Wed</v>
      </c>
      <c r="C13" s="29"/>
      <c r="D13" s="16"/>
      <c r="E13" s="29"/>
      <c r="F13" s="15"/>
      <c r="G13" s="29"/>
      <c r="H13" s="16"/>
      <c r="I13" s="29"/>
      <c r="J13" s="16"/>
      <c r="K13" s="30"/>
      <c r="L13" s="30"/>
      <c r="M13" s="23"/>
    </row>
    <row r="14" spans="1:13" ht="20.100000000000001" customHeight="1" thickTop="1" thickBot="1" x14ac:dyDescent="0.3">
      <c r="A14" s="42">
        <f ca="1">DATE(YEAR(TODAY()),MATCH(B2,{"January","February","March","April","May","June","July","August","September","October","November","December"},0),6)</f>
        <v>45967</v>
      </c>
      <c r="B14" s="43" t="str">
        <f ca="1">TEXT(A14,"ddd")</f>
        <v>Thu</v>
      </c>
      <c r="C14" s="33"/>
      <c r="D14" s="32"/>
      <c r="E14" s="33"/>
      <c r="F14" s="34"/>
      <c r="G14" s="33"/>
      <c r="H14" s="32"/>
      <c r="I14" s="33"/>
      <c r="J14" s="32"/>
      <c r="K14" s="35"/>
      <c r="L14" s="35"/>
      <c r="M14" s="23"/>
    </row>
    <row r="15" spans="1:13" ht="20.100000000000001" customHeight="1" thickTop="1" thickBot="1" x14ac:dyDescent="0.3">
      <c r="A15" s="17">
        <f ca="1">DATE(YEAR(TODAY()),MATCH(B2,{"January","February","March","April","May","June","July","August","September","October","November","December"},0),7)</f>
        <v>45968</v>
      </c>
      <c r="B15" s="22" t="str">
        <f ca="1">TEXT(A15,"ddd")</f>
        <v>Fri</v>
      </c>
      <c r="C15" s="66"/>
      <c r="D15" s="67"/>
      <c r="E15" s="66"/>
      <c r="F15" s="68"/>
      <c r="G15" s="66"/>
      <c r="H15" s="67"/>
      <c r="I15" s="66"/>
      <c r="J15" s="67"/>
      <c r="K15" s="69"/>
      <c r="L15" s="69"/>
      <c r="M15" s="23"/>
    </row>
    <row r="16" spans="1:13" ht="20.100000000000001" customHeight="1" thickTop="1" thickBot="1" x14ac:dyDescent="0.3">
      <c r="A16" s="42">
        <f ca="1">DATE(YEAR(TODAY()),MATCH(B2,{"January","February","March","April","May","June","July","August","September","October","November","December"},0),8)</f>
        <v>45969</v>
      </c>
      <c r="B16" s="43" t="str">
        <f ca="1">TEXT(A16,"ddd")</f>
        <v>Sat</v>
      </c>
      <c r="C16" s="33"/>
      <c r="D16" s="32"/>
      <c r="E16" s="33"/>
      <c r="F16" s="34"/>
      <c r="G16" s="33"/>
      <c r="H16" s="32"/>
      <c r="I16" s="33"/>
      <c r="J16" s="32"/>
      <c r="K16" s="35"/>
      <c r="L16" s="35"/>
      <c r="M16" s="23"/>
    </row>
    <row r="17" spans="1:13" ht="20.100000000000001" customHeight="1" thickTop="1" thickBot="1" x14ac:dyDescent="0.3">
      <c r="A17" s="58">
        <f ca="1">DATE(YEAR(TODAY()),MATCH(B2,{"January","February","March","April","May","June","July","August","September","October","November","December"},0),9)</f>
        <v>45970</v>
      </c>
      <c r="B17" s="59" t="str">
        <f ca="1">TEXT(A17,"ddd")</f>
        <v>Sun</v>
      </c>
      <c r="C17" s="45"/>
      <c r="D17" s="46"/>
      <c r="E17" s="45"/>
      <c r="F17" s="47"/>
      <c r="G17" s="45"/>
      <c r="H17" s="46"/>
      <c r="I17" s="45"/>
      <c r="J17" s="46"/>
      <c r="K17" s="48"/>
      <c r="L17" s="48"/>
      <c r="M17" s="23"/>
    </row>
    <row r="18" spans="1:13" ht="20.100000000000001" customHeight="1" thickTop="1" thickBot="1" x14ac:dyDescent="0.3">
      <c r="A18" s="42">
        <f ca="1">DATE(YEAR(TODAY()),MATCH(B2,{"January","February","March","April","May","June","July","August","September","October","November","December"},0),10)</f>
        <v>45971</v>
      </c>
      <c r="B18" s="43" t="str">
        <f ca="1">TEXT(A18,"ddd")</f>
        <v>Mon</v>
      </c>
      <c r="C18" s="33"/>
      <c r="D18" s="32"/>
      <c r="E18" s="33"/>
      <c r="F18" s="34"/>
      <c r="G18" s="33"/>
      <c r="H18" s="32"/>
      <c r="I18" s="33"/>
      <c r="J18" s="32"/>
      <c r="K18" s="35"/>
      <c r="L18" s="35"/>
      <c r="M18" s="23"/>
    </row>
    <row r="19" spans="1:13" ht="20.100000000000001" customHeight="1" thickTop="1" thickBot="1" x14ac:dyDescent="0.3">
      <c r="A19" s="18">
        <f ca="1">DATE(YEAR(TODAY()),MATCH(B2,{"January","February","March","April","May","June","July","August","September","October","November","December"},0),11)</f>
        <v>45972</v>
      </c>
      <c r="B19" s="19" t="str">
        <f ca="1">TEXT(A19,"ddd")</f>
        <v>Tue</v>
      </c>
      <c r="C19" s="29"/>
      <c r="D19" s="16"/>
      <c r="E19" s="29"/>
      <c r="F19" s="15"/>
      <c r="G19" s="29"/>
      <c r="H19" s="16"/>
      <c r="I19" s="29"/>
      <c r="J19" s="16"/>
      <c r="K19" s="30"/>
      <c r="L19" s="30"/>
      <c r="M19" s="23"/>
    </row>
    <row r="20" spans="1:13" ht="20.100000000000001" customHeight="1" thickTop="1" thickBot="1" x14ac:dyDescent="0.3">
      <c r="A20" s="42">
        <f ca="1">DATE(YEAR(TODAY()),MATCH(B2,{"January","February","March","April","May","June","July","August","September","October","November","December"},0),12)</f>
        <v>45973</v>
      </c>
      <c r="B20" s="43" t="str">
        <f ca="1">TEXT(A20,"ddd")</f>
        <v>Wed</v>
      </c>
      <c r="C20" s="33"/>
      <c r="D20" s="32"/>
      <c r="E20" s="33"/>
      <c r="F20" s="34"/>
      <c r="G20" s="33"/>
      <c r="H20" s="32"/>
      <c r="I20" s="33"/>
      <c r="J20" s="32"/>
      <c r="K20" s="35"/>
      <c r="L20" s="35"/>
      <c r="M20" s="23"/>
    </row>
    <row r="21" spans="1:13" ht="20.100000000000001" customHeight="1" thickTop="1" thickBot="1" x14ac:dyDescent="0.3">
      <c r="A21" s="17">
        <f ca="1">DATE(YEAR(TODAY()),MATCH(B2,{"January","February","March","April","May","June","July","August","September","October","November","December"},0),13)</f>
        <v>45974</v>
      </c>
      <c r="B21" s="22" t="str">
        <f ca="1">TEXT(A21,"ddd")</f>
        <v>Thu</v>
      </c>
      <c r="C21" s="29"/>
      <c r="D21" s="16"/>
      <c r="E21" s="29"/>
      <c r="F21" s="15"/>
      <c r="G21" s="29"/>
      <c r="H21" s="16"/>
      <c r="I21" s="29"/>
      <c r="J21" s="16"/>
      <c r="K21" s="30"/>
      <c r="L21" s="30"/>
      <c r="M21" s="23"/>
    </row>
    <row r="22" spans="1:13" ht="20.100000000000001" customHeight="1" thickTop="1" thickBot="1" x14ac:dyDescent="0.3">
      <c r="A22" s="42">
        <f ca="1">DATE(YEAR(TODAY()),MATCH(B2,{"January","February","March","April","May","June","July","August","September","October","November","December"},0),14)</f>
        <v>45975</v>
      </c>
      <c r="B22" s="43" t="str">
        <f ca="1">TEXT(A22,"ddd")</f>
        <v>Fri</v>
      </c>
      <c r="C22" s="62"/>
      <c r="D22" s="63"/>
      <c r="E22" s="62"/>
      <c r="F22" s="64"/>
      <c r="G22" s="62"/>
      <c r="H22" s="63"/>
      <c r="I22" s="62"/>
      <c r="J22" s="63"/>
      <c r="K22" s="65"/>
      <c r="L22" s="65"/>
      <c r="M22" s="23"/>
    </row>
    <row r="23" spans="1:13" ht="20.100000000000001" customHeight="1" thickTop="1" thickBot="1" x14ac:dyDescent="0.3">
      <c r="A23" s="14">
        <f ca="1">DATE(YEAR(TODAY()),MATCH(B2,{"January","February","March","April","May","June","July","August","September","October","November","December"},0),15)</f>
        <v>45976</v>
      </c>
      <c r="B23" s="31" t="str">
        <f ca="1">TEXT(A23,"ddd")</f>
        <v>Sat</v>
      </c>
      <c r="C23" s="29"/>
      <c r="D23" s="16"/>
      <c r="E23" s="29"/>
      <c r="F23" s="15"/>
      <c r="G23" s="29"/>
      <c r="H23" s="16"/>
      <c r="I23" s="29"/>
      <c r="J23" s="16"/>
      <c r="K23" s="30"/>
      <c r="L23" s="30"/>
      <c r="M23" s="23"/>
    </row>
    <row r="24" spans="1:13" ht="20.100000000000001" customHeight="1" thickTop="1" thickBot="1" x14ac:dyDescent="0.3">
      <c r="A24" s="56">
        <f ca="1">DATE(YEAR(TODAY()),MATCH(B2,{"January","February","March","April","May","June","July","August","September","October","November","December"},0),16)</f>
        <v>45977</v>
      </c>
      <c r="B24" s="57" t="str">
        <f ca="1">TEXT(A24,"ddd")</f>
        <v>Sun</v>
      </c>
      <c r="C24" s="49"/>
      <c r="D24" s="50"/>
      <c r="E24" s="49"/>
      <c r="F24" s="51"/>
      <c r="G24" s="49"/>
      <c r="H24" s="50"/>
      <c r="I24" s="49"/>
      <c r="J24" s="50"/>
      <c r="K24" s="52"/>
      <c r="L24" s="52"/>
      <c r="M24" s="23"/>
    </row>
    <row r="25" spans="1:13" ht="20.100000000000001" customHeight="1" thickTop="1" thickBot="1" x14ac:dyDescent="0.3">
      <c r="A25" s="14">
        <f ca="1">DATE(YEAR(TODAY()),MATCH(B2,{"January","February","March","April","May","June","July","August","September","October","November","December"},0),17)</f>
        <v>45978</v>
      </c>
      <c r="B25" s="31" t="str">
        <f ca="1">TEXT(A25,"ddd")</f>
        <v>Mon</v>
      </c>
      <c r="C25" s="29"/>
      <c r="D25" s="16"/>
      <c r="E25" s="29"/>
      <c r="F25" s="15"/>
      <c r="G25" s="29"/>
      <c r="H25" s="16"/>
      <c r="I25" s="29"/>
      <c r="J25" s="16"/>
      <c r="K25" s="30"/>
      <c r="L25" s="30"/>
      <c r="M25" s="23"/>
    </row>
    <row r="26" spans="1:13" ht="20.100000000000001" customHeight="1" thickTop="1" thickBot="1" x14ac:dyDescent="0.3">
      <c r="A26" s="42">
        <f ca="1">DATE(YEAR(TODAY()),MATCH(B2,{"January","February","March","April","May","June","July","August","September","October","November","December"},0),18)</f>
        <v>45979</v>
      </c>
      <c r="B26" s="43" t="str">
        <f ca="1">TEXT(A26,"ddd")</f>
        <v>Tue</v>
      </c>
      <c r="C26" s="33"/>
      <c r="D26" s="32"/>
      <c r="E26" s="33"/>
      <c r="F26" s="34"/>
      <c r="G26" s="33"/>
      <c r="H26" s="32"/>
      <c r="I26" s="33"/>
      <c r="J26" s="32"/>
      <c r="K26" s="35"/>
      <c r="L26" s="35"/>
      <c r="M26" s="23"/>
    </row>
    <row r="27" spans="1:13" ht="20.100000000000001" customHeight="1" thickTop="1" thickBot="1" x14ac:dyDescent="0.3">
      <c r="A27" s="14">
        <f ca="1">DATE(YEAR(TODAY()),MATCH(B2,{"January","February","March","April","May","June","July","August","September","October","November","December"},0),19)</f>
        <v>45980</v>
      </c>
      <c r="B27" s="31" t="str">
        <f ca="1">TEXT(A27,"ddd")</f>
        <v>Wed</v>
      </c>
      <c r="C27" s="29"/>
      <c r="D27" s="16"/>
      <c r="E27" s="29"/>
      <c r="F27" s="15"/>
      <c r="G27" s="29"/>
      <c r="H27" s="16"/>
      <c r="I27" s="29"/>
      <c r="J27" s="16"/>
      <c r="K27" s="30"/>
      <c r="L27" s="30"/>
      <c r="M27" s="23"/>
    </row>
    <row r="28" spans="1:13" ht="20.100000000000001" customHeight="1" thickTop="1" thickBot="1" x14ac:dyDescent="0.3">
      <c r="A28" s="42">
        <f ca="1">DATE(YEAR(TODAY()),MATCH(B2,{"January","February","March","April","May","June","July","August","September","October","November","December"},0),20)</f>
        <v>45981</v>
      </c>
      <c r="B28" s="43" t="str">
        <f ca="1">TEXT(A28,"ddd")</f>
        <v>Thu</v>
      </c>
      <c r="C28" s="33"/>
      <c r="D28" s="32"/>
      <c r="E28" s="33"/>
      <c r="F28" s="34"/>
      <c r="G28" s="33"/>
      <c r="H28" s="32"/>
      <c r="I28" s="33"/>
      <c r="J28" s="32"/>
      <c r="K28" s="35"/>
      <c r="L28" s="35"/>
      <c r="M28" s="23"/>
    </row>
    <row r="29" spans="1:13" ht="20.100000000000001" customHeight="1" thickTop="1" thickBot="1" x14ac:dyDescent="0.3">
      <c r="A29" s="14">
        <f ca="1">DATE(YEAR(TODAY()),MATCH(B2,{"January","February","March","April","May","June","July","August","September","October","November","December"},0),21)</f>
        <v>45982</v>
      </c>
      <c r="B29" s="31" t="str">
        <f ca="1">TEXT(A29,"ddd")</f>
        <v>Fri</v>
      </c>
      <c r="C29" s="66"/>
      <c r="D29" s="67"/>
      <c r="E29" s="66"/>
      <c r="F29" s="68"/>
      <c r="G29" s="66"/>
      <c r="H29" s="67"/>
      <c r="I29" s="66"/>
      <c r="J29" s="67"/>
      <c r="K29" s="69"/>
      <c r="L29" s="69"/>
      <c r="M29" s="23"/>
    </row>
    <row r="30" spans="1:13" ht="20.100000000000001" customHeight="1" thickTop="1" thickBot="1" x14ac:dyDescent="0.3">
      <c r="A30" s="42">
        <f ca="1">DATE(YEAR(TODAY()),MATCH(B2,{"January","February","March","April","May","June","July","August","September","October","November","December"},0),22)</f>
        <v>45983</v>
      </c>
      <c r="B30" s="43" t="str">
        <f ca="1">TEXT(A30,"ddd")</f>
        <v>Sat</v>
      </c>
      <c r="C30" s="33"/>
      <c r="D30" s="32"/>
      <c r="E30" s="33"/>
      <c r="F30" s="34"/>
      <c r="G30" s="33"/>
      <c r="H30" s="32"/>
      <c r="I30" s="33"/>
      <c r="J30" s="32"/>
      <c r="K30" s="35"/>
      <c r="L30" s="35"/>
      <c r="M30" s="23"/>
    </row>
    <row r="31" spans="1:13" ht="20.100000000000001" customHeight="1" thickTop="1" thickBot="1" x14ac:dyDescent="0.3">
      <c r="A31" s="58">
        <f ca="1">DATE(YEAR(TODAY()),MATCH(B2,{"January","February","March","April","May","June","July","August","September","October","November","December"},0),23)</f>
        <v>45984</v>
      </c>
      <c r="B31" s="59" t="str">
        <f ca="1">TEXT(A31,"ddd")</f>
        <v>Sun</v>
      </c>
      <c r="C31" s="45"/>
      <c r="D31" s="46"/>
      <c r="E31" s="45"/>
      <c r="F31" s="47"/>
      <c r="G31" s="45"/>
      <c r="H31" s="46"/>
      <c r="I31" s="45"/>
      <c r="J31" s="46"/>
      <c r="K31" s="48"/>
      <c r="L31" s="48"/>
      <c r="M31" s="23"/>
    </row>
    <row r="32" spans="1:13" ht="20.100000000000001" customHeight="1" thickTop="1" thickBot="1" x14ac:dyDescent="0.3">
      <c r="A32" s="42">
        <f ca="1">DATE(YEAR(TODAY()),MATCH(B2,{"January","February","March","April","May","June","July","August","September","October","November","December"},0),24)</f>
        <v>45985</v>
      </c>
      <c r="B32" s="43" t="str">
        <f ca="1">TEXT(A32,"ddd")</f>
        <v>Mon</v>
      </c>
      <c r="C32" s="33"/>
      <c r="D32" s="32"/>
      <c r="E32" s="33"/>
      <c r="F32" s="34"/>
      <c r="G32" s="33"/>
      <c r="H32" s="32"/>
      <c r="I32" s="33"/>
      <c r="J32" s="32"/>
      <c r="K32" s="35"/>
      <c r="L32" s="35"/>
      <c r="M32" s="23"/>
    </row>
    <row r="33" spans="1:13" ht="20.100000000000001" customHeight="1" thickTop="1" thickBot="1" x14ac:dyDescent="0.3">
      <c r="A33" s="40">
        <f ca="1">DATE(YEAR(TODAY()),MATCH(B2,{"January","February","March","April","May","June","July","August","September","October","November","December"},0),25)</f>
        <v>45986</v>
      </c>
      <c r="B33" s="43" t="str">
        <f ca="1">TEXT(A33,"ddd")</f>
        <v>Tue</v>
      </c>
      <c r="C33" s="29"/>
      <c r="D33" s="16"/>
      <c r="E33" s="29"/>
      <c r="F33" s="15"/>
      <c r="G33" s="29"/>
      <c r="H33" s="16"/>
      <c r="I33" s="29"/>
      <c r="J33" s="16"/>
      <c r="K33" s="30"/>
      <c r="L33" s="30"/>
      <c r="M33" s="23"/>
    </row>
    <row r="34" spans="1:13" ht="20.100000000000001" customHeight="1" thickTop="1" thickBot="1" x14ac:dyDescent="0.3">
      <c r="A34" s="14">
        <f ca="1">DATE(YEAR(TODAY()),MATCH(B2,{"January","February","March","April","May","June","July","August","September","October","November","December"},0),26)</f>
        <v>45987</v>
      </c>
      <c r="B34" s="31" t="str">
        <f ca="1">TEXT(A34,"ddd")</f>
        <v>Wed</v>
      </c>
      <c r="C34" s="33"/>
      <c r="D34" s="32"/>
      <c r="E34" s="33"/>
      <c r="F34" s="34"/>
      <c r="G34" s="33"/>
      <c r="H34" s="32"/>
      <c r="I34" s="33"/>
      <c r="J34" s="32"/>
      <c r="K34" s="35"/>
      <c r="L34" s="35"/>
      <c r="M34" s="23"/>
    </row>
    <row r="35" spans="1:13" ht="20.100000000000001" customHeight="1" thickTop="1" thickBot="1" x14ac:dyDescent="0.3">
      <c r="A35" s="42">
        <f ca="1">DATE(YEAR(TODAY()),MATCH(B2,{"January","February","March","April","May","June","July","August","September","October","November","December"},0),27)</f>
        <v>45988</v>
      </c>
      <c r="B35" s="43" t="str">
        <f ca="1">TEXT(A35,"ddd")</f>
        <v>Thu</v>
      </c>
      <c r="C35" s="29"/>
      <c r="D35" s="16"/>
      <c r="E35" s="29"/>
      <c r="F35" s="15"/>
      <c r="G35" s="29"/>
      <c r="H35" s="16"/>
      <c r="I35" s="29"/>
      <c r="J35" s="16"/>
      <c r="K35" s="30"/>
      <c r="L35" s="30"/>
      <c r="M35" s="23"/>
    </row>
    <row r="36" spans="1:13" ht="20.100000000000001" customHeight="1" thickTop="1" thickBot="1" x14ac:dyDescent="0.3">
      <c r="A36" s="42">
        <f ca="1">DATE(YEAR(TODAY()),MATCH(B2,{"January","February","March","April","May","June","July","August","September","October","November","December"},0),28)</f>
        <v>45989</v>
      </c>
      <c r="B36" s="43" t="str">
        <f ca="1">TEXT(A36,"ddd")</f>
        <v>Fri</v>
      </c>
      <c r="C36" s="62"/>
      <c r="D36" s="63"/>
      <c r="E36" s="62"/>
      <c r="F36" s="64"/>
      <c r="G36" s="62"/>
      <c r="H36" s="63"/>
      <c r="I36" s="62"/>
      <c r="J36" s="63"/>
      <c r="K36" s="65"/>
      <c r="L36" s="65"/>
      <c r="M36" s="23"/>
    </row>
    <row r="37" spans="1:13" ht="20.100000000000001" customHeight="1" thickTop="1" thickBot="1" x14ac:dyDescent="0.3">
      <c r="A37" s="42">
        <f ca="1">DATE(YEAR(TODAY()),MATCH(B2,{"January","February","March","April","May","June","July","August","September","October","November","December"},0),29)</f>
        <v>45990</v>
      </c>
      <c r="B37" s="43" t="str">
        <f ca="1">TEXT(A37,"ddd")</f>
        <v>Sat</v>
      </c>
      <c r="C37" s="33"/>
      <c r="D37" s="32"/>
      <c r="E37" s="33"/>
      <c r="F37" s="34"/>
      <c r="G37" s="33"/>
      <c r="H37" s="32"/>
      <c r="I37" s="33"/>
      <c r="J37" s="32"/>
      <c r="K37" s="35"/>
      <c r="L37" s="35"/>
      <c r="M37" s="23"/>
    </row>
    <row r="38" spans="1:13" ht="20.100000000000001" customHeight="1" thickTop="1" thickBot="1" x14ac:dyDescent="0.3">
      <c r="A38" s="55">
        <f ca="1">DATE(YEAR(TODAY()),MATCH(B2,{"January","February","March","April","May","June","July","August","September","October","November","December"},0),30)</f>
        <v>45991</v>
      </c>
      <c r="B38" s="70" t="str">
        <f ca="1">TEXT(A38,"ddd")</f>
        <v>Sun</v>
      </c>
      <c r="C38" s="71"/>
      <c r="D38" s="72"/>
      <c r="E38" s="71"/>
      <c r="F38" s="73"/>
      <c r="G38" s="71"/>
      <c r="H38" s="72"/>
      <c r="I38" s="71"/>
      <c r="J38" s="72"/>
      <c r="K38" s="74"/>
      <c r="L38" s="74"/>
      <c r="M38" s="23"/>
    </row>
    <row r="39" spans="1:13" ht="15.75" thickTop="1" x14ac:dyDescent="0.25"/>
    <row r="41" spans="1:13" x14ac:dyDescent="0.25">
      <c r="B41" s="60"/>
      <c r="C41" s="60"/>
      <c r="H41" s="60"/>
      <c r="I41" s="60"/>
      <c r="J41" s="60"/>
      <c r="K41" s="60"/>
    </row>
    <row r="42" spans="1:13" x14ac:dyDescent="0.25">
      <c r="B42" s="61" t="s">
        <v>14</v>
      </c>
      <c r="C42" s="61"/>
      <c r="H42" t="s">
        <v>15</v>
      </c>
      <c r="J42" s="75"/>
      <c r="K42" s="75"/>
    </row>
  </sheetData>
  <mergeCells count="14">
    <mergeCell ref="B42:C42"/>
    <mergeCell ref="K7:K8"/>
    <mergeCell ref="L7:L8"/>
    <mergeCell ref="C6:L6"/>
    <mergeCell ref="D2:L2"/>
    <mergeCell ref="A4:XFD5"/>
    <mergeCell ref="A6:A8"/>
    <mergeCell ref="B6:B8"/>
    <mergeCell ref="C7:D7"/>
    <mergeCell ref="E7:F7"/>
    <mergeCell ref="G7:H7"/>
    <mergeCell ref="I7:J7"/>
    <mergeCell ref="A1:B1"/>
    <mergeCell ref="C1:J1"/>
  </mergeCells>
  <dataValidations count="1">
    <dataValidation type="list" showInputMessage="1" showErrorMessage="1" sqref="B2:B3">
      <formula1>"January,February,March,April,May,June,July,August,September,October,November,December"</formula1>
    </dataValidation>
  </dataValidations>
  <pageMargins left="0.75" right="0.75" top="1" bottom="1" header="0.5" footer="0.5"/>
  <pageSetup scale="56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Clocking Sheet</vt:lpstr>
      <vt:lpstr>'Clocking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cp:lastPrinted>2025-11-13T06:19:15Z</cp:lastPrinted>
  <dcterms:created xsi:type="dcterms:W3CDTF">2025-11-13T05:14:42Z</dcterms:created>
  <dcterms:modified xsi:type="dcterms:W3CDTF">2025-11-13T14:38:16Z</dcterms:modified>
</cp:coreProperties>
</file>