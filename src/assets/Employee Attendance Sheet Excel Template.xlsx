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Yearly_Attendance_Record" sheetId="2" r:id="rId5"/>
    <sheet state="visible" name="Printable_Daily_Attendance" sheetId="3" r:id="rId6"/>
    <sheet state="visible" name="Employee_Monthly_Attendance_She" sheetId="4" r:id="rId7"/>
    <sheet state="visible" name="Printable_Monthly_Attendance" sheetId="5" r:id="rId8"/>
    <sheet state="visible" name="Full_Forms" sheetId="6" r:id="rId9"/>
  </sheets>
  <definedNames>
    <definedName hidden="1" localSheetId="1" name="_xlnm._FilterDatabase">Yearly_Attendance_Record!$B$6:$D$157</definedName>
  </definedNames>
  <calcPr/>
</workbook>
</file>

<file path=xl/sharedStrings.xml><?xml version="1.0" encoding="utf-8"?>
<sst xmlns="http://schemas.openxmlformats.org/spreadsheetml/2006/main" count="6664" uniqueCount="164">
  <si>
    <t>Your Company Name</t>
  </si>
  <si>
    <t>Yearly Attendance Record</t>
  </si>
  <si>
    <t>Monthly Attendance Summary</t>
  </si>
  <si>
    <t>Emp. ID</t>
  </si>
  <si>
    <t>Employee Name</t>
  </si>
  <si>
    <t>Month</t>
  </si>
  <si>
    <t>P</t>
  </si>
  <si>
    <t>L</t>
  </si>
  <si>
    <t>HD</t>
  </si>
  <si>
    <t>NH</t>
  </si>
  <si>
    <t>FH</t>
  </si>
  <si>
    <t>T</t>
  </si>
  <si>
    <t>ML</t>
  </si>
  <si>
    <t>EL</t>
  </si>
  <si>
    <t>EL AL</t>
  </si>
  <si>
    <t>SL</t>
  </si>
  <si>
    <t>SL AL</t>
  </si>
  <si>
    <t>CL</t>
  </si>
  <si>
    <t>CL AL</t>
  </si>
  <si>
    <t>Working Days</t>
  </si>
  <si>
    <t>Days Payable</t>
  </si>
  <si>
    <t>Save</t>
  </si>
  <si>
    <t>AS2101</t>
  </si>
  <si>
    <t>Astha Puri</t>
  </si>
  <si>
    <t>January</t>
  </si>
  <si>
    <t>H</t>
  </si>
  <si>
    <t>AS2102</t>
  </si>
  <si>
    <t>Bijal Pande</t>
  </si>
  <si>
    <t>AS2103</t>
  </si>
  <si>
    <t>Chirag Sharma</t>
  </si>
  <si>
    <t>AS2104</t>
  </si>
  <si>
    <t>Divya Soni</t>
  </si>
  <si>
    <t>AS2105</t>
  </si>
  <si>
    <t>Erum Rastogi</t>
  </si>
  <si>
    <t>AS2106</t>
  </si>
  <si>
    <t>Farhan Patel</t>
  </si>
  <si>
    <t>AS2107</t>
  </si>
  <si>
    <t>Geet Sahu</t>
  </si>
  <si>
    <t>AS2108</t>
  </si>
  <si>
    <t>Himesh Surya</t>
  </si>
  <si>
    <t>AS2109</t>
  </si>
  <si>
    <t>Imran Abha</t>
  </si>
  <si>
    <t>AS2110</t>
  </si>
  <si>
    <t>Jitendra Pande</t>
  </si>
  <si>
    <t>AS2111</t>
  </si>
  <si>
    <t>Kailash Rane</t>
  </si>
  <si>
    <t>AS2112</t>
  </si>
  <si>
    <t>Luv Patel</t>
  </si>
  <si>
    <t>AS2113</t>
  </si>
  <si>
    <t>Manoj Bhide</t>
  </si>
  <si>
    <t>AS2114</t>
  </si>
  <si>
    <t>Nancy Pastor</t>
  </si>
  <si>
    <t>AS2115</t>
  </si>
  <si>
    <t>Omar Shaikh</t>
  </si>
  <si>
    <t>AS2116</t>
  </si>
  <si>
    <t>Preetam Chavla</t>
  </si>
  <si>
    <t>AS2117</t>
  </si>
  <si>
    <t>Ram Vihaan</t>
  </si>
  <si>
    <t>AS2118</t>
  </si>
  <si>
    <t>Sunil Upadhay</t>
  </si>
  <si>
    <t>AS2119</t>
  </si>
  <si>
    <t>Tirth Chobe</t>
  </si>
  <si>
    <t>AS2120</t>
  </si>
  <si>
    <t>Umesh Bajrang</t>
  </si>
  <si>
    <t>AS2121</t>
  </si>
  <si>
    <t>Umesh Bajrang 1</t>
  </si>
  <si>
    <t>AS2122</t>
  </si>
  <si>
    <t>Umesh Bajrang 2</t>
  </si>
  <si>
    <t>AS2123</t>
  </si>
  <si>
    <t>Umesh Bajrang 3</t>
  </si>
  <si>
    <t>AS2124</t>
  </si>
  <si>
    <t>Umesh Bajrang 4</t>
  </si>
  <si>
    <t>AS2125</t>
  </si>
  <si>
    <t>Umesh Bajrang 5</t>
  </si>
  <si>
    <t>AS2126</t>
  </si>
  <si>
    <t>Umesh Bajrang 6</t>
  </si>
  <si>
    <t>AS2127</t>
  </si>
  <si>
    <t>Umesh Bajrang 7</t>
  </si>
  <si>
    <t>AS2128</t>
  </si>
  <si>
    <t>Umesh Bajrang 8</t>
  </si>
  <si>
    <t>AS2129</t>
  </si>
  <si>
    <t>Umesh Bajrang 9</t>
  </si>
  <si>
    <t>AS2130</t>
  </si>
  <si>
    <t>Umesh Bajrang 10</t>
  </si>
  <si>
    <t>AS2131</t>
  </si>
  <si>
    <t>Umesh Bajrang 11</t>
  </si>
  <si>
    <t>AS2132</t>
  </si>
  <si>
    <t>Umesh Bajrang 12</t>
  </si>
  <si>
    <t>AS2133</t>
  </si>
  <si>
    <t>Umesh Bajrang 13</t>
  </si>
  <si>
    <t>AS2134</t>
  </si>
  <si>
    <t>Umesh Bajrang 14</t>
  </si>
  <si>
    <t>AS2135</t>
  </si>
  <si>
    <t>Umesh Bajrang 15</t>
  </si>
  <si>
    <t>AS2136</t>
  </si>
  <si>
    <t>Umesh Bajrang 16</t>
  </si>
  <si>
    <t>AS2137</t>
  </si>
  <si>
    <t>Umesh Bajrang 17</t>
  </si>
  <si>
    <t>AS2138</t>
  </si>
  <si>
    <t>Umesh Bajrang 18</t>
  </si>
  <si>
    <t>AS2139</t>
  </si>
  <si>
    <t>Umesh Bajrang 19</t>
  </si>
  <si>
    <t>AS2140</t>
  </si>
  <si>
    <t>Umesh Bajrang 20</t>
  </si>
  <si>
    <t>AS2141</t>
  </si>
  <si>
    <t>Umesh Bajrang 21</t>
  </si>
  <si>
    <t>AS2142</t>
  </si>
  <si>
    <t>Umesh Bajrang 22</t>
  </si>
  <si>
    <t>AS2143</t>
  </si>
  <si>
    <t>Umesh Bajrang 23</t>
  </si>
  <si>
    <t>AS2144</t>
  </si>
  <si>
    <t>Umesh Bajrang 24</t>
  </si>
  <si>
    <t>AS2145</t>
  </si>
  <si>
    <t>Umesh Bajrang 25</t>
  </si>
  <si>
    <t>AS2146</t>
  </si>
  <si>
    <t>Umesh Bajrang 26</t>
  </si>
  <si>
    <t>AS2147</t>
  </si>
  <si>
    <t>Umesh Bajrang 27</t>
  </si>
  <si>
    <t>AS2148</t>
  </si>
  <si>
    <t>Umesh Bajrang 28</t>
  </si>
  <si>
    <t>AS2149</t>
  </si>
  <si>
    <t>Umesh Bajrang 29</t>
  </si>
  <si>
    <t>AS2150</t>
  </si>
  <si>
    <t>Umesh Bajrang 30</t>
  </si>
  <si>
    <t>February</t>
  </si>
  <si>
    <t>March</t>
  </si>
  <si>
    <t>Printable Daily Attendance</t>
  </si>
  <si>
    <t>Company Name</t>
  </si>
  <si>
    <t>Daily Attendance Sheet</t>
  </si>
  <si>
    <t>Date</t>
  </si>
  <si>
    <t>Department</t>
  </si>
  <si>
    <t>Time In</t>
  </si>
  <si>
    <t>Sign</t>
  </si>
  <si>
    <t>Time Out</t>
  </si>
  <si>
    <t>Remarks</t>
  </si>
  <si>
    <t>VIJAYANT HOSPITAL</t>
  </si>
  <si>
    <t>Emloyee Attendance Sheet</t>
  </si>
  <si>
    <t>April</t>
  </si>
  <si>
    <t>May</t>
  </si>
  <si>
    <t>June</t>
  </si>
  <si>
    <t>July</t>
  </si>
  <si>
    <t>August</t>
  </si>
  <si>
    <t>September</t>
  </si>
  <si>
    <t>October</t>
  </si>
  <si>
    <t>Novemeber</t>
  </si>
  <si>
    <t>December</t>
  </si>
  <si>
    <t>Type of Day</t>
  </si>
  <si>
    <t xml:space="preserve"> Dr. Buddhiram Patel</t>
  </si>
  <si>
    <t>Printable Monthly Attendance</t>
  </si>
  <si>
    <t>Year</t>
  </si>
  <si>
    <t>Monthly Attendance Sheet</t>
  </si>
  <si>
    <t>Dates</t>
  </si>
  <si>
    <t>Strength</t>
  </si>
  <si>
    <t>Present</t>
  </si>
  <si>
    <t>Leave</t>
  </si>
  <si>
    <t>Half Day</t>
  </si>
  <si>
    <t>Earned Leave</t>
  </si>
  <si>
    <t>Casual Leave</t>
  </si>
  <si>
    <t>Sick Leave</t>
  </si>
  <si>
    <t>Holiday (Weekends)</t>
  </si>
  <si>
    <t>Training Leave</t>
  </si>
  <si>
    <t>National Holidays</t>
  </si>
  <si>
    <t>Festive Holidays</t>
  </si>
  <si>
    <t>Maternity Leave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</si>
</sst>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rial"/>
      <scheme val="minor"/>
    </font>
    <font>
      <sz val="11.0"/>
      <color theme="1"/>
      <name val="Calibri"/>
    </font>
    <font>
      <sz val="11.0"/>
      <color rgb="FFFF0000"/>
      <name val="Calibri"/>
    </font>
    <font/>
    <font>
      <b/>
      <sz val="35.0"/>
      <color rgb="FFFFFFFF"/>
      <name val="Calibri"/>
    </font>
    <font>
      <b/>
      <sz val="35.0"/>
      <color rgb="FFFF0000"/>
      <name val="Calibri"/>
    </font>
    <font>
      <b/>
      <sz val="25.0"/>
      <color rgb="FFFFFFFF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b/>
      <sz val="19.0"/>
      <color rgb="FFFFFFFF"/>
      <name val="Calibri"/>
    </font>
    <font>
      <b/>
      <sz val="15.0"/>
      <color theme="1"/>
      <name val="Calibri"/>
    </font>
    <font>
      <b/>
      <sz val="12.0"/>
      <color theme="1"/>
      <name val="Calibri"/>
    </font>
    <font>
      <sz val="11.0"/>
      <color rgb="FF264540"/>
      <name val="Calibri"/>
    </font>
    <font>
      <sz val="11.0"/>
      <color rgb="FF314C59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00A99D"/>
        <bgColor rgb="FF00A99D"/>
      </patternFill>
    </fill>
    <fill>
      <patternFill patternType="solid">
        <fgColor rgb="FFDDF2F0"/>
        <bgColor rgb="FFDDF2F0"/>
      </patternFill>
    </fill>
    <fill>
      <patternFill patternType="solid">
        <fgColor rgb="FF72D1AF"/>
        <bgColor rgb="FF72D1AF"/>
      </patternFill>
    </fill>
    <fill>
      <patternFill patternType="solid">
        <fgColor rgb="FFEAF1DD"/>
        <bgColor rgb="FFEAF1DD"/>
      </patternFill>
    </fill>
    <fill>
      <patternFill patternType="solid">
        <fgColor rgb="FF35C8B8"/>
        <bgColor rgb="FF35C8B8"/>
      </patternFill>
    </fill>
    <fill>
      <patternFill patternType="solid">
        <fgColor rgb="FF3BD3B2"/>
        <bgColor rgb="FF3BD3B2"/>
      </patternFill>
    </fill>
  </fills>
  <borders count="31">
    <border/>
    <border>
      <left/>
      <right/>
      <top/>
      <bottom/>
    </border>
    <border>
      <left/>
      <right/>
      <top/>
    </border>
    <border>
      <lef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3" fontId="2" numFmtId="1" xfId="0" applyBorder="1" applyFill="1" applyFont="1" applyNumberFormat="1"/>
    <xf borderId="5" fillId="3" fontId="3" numFmtId="0" xfId="0" applyBorder="1" applyFont="1"/>
    <xf borderId="6" fillId="3" fontId="4" numFmtId="0" xfId="0" applyAlignment="1" applyBorder="1" applyFont="1">
      <alignment horizontal="center" readingOrder="0" vertical="center"/>
    </xf>
    <xf borderId="7" fillId="3" fontId="3" numFmtId="0" xfId="0" applyBorder="1" applyFont="1"/>
    <xf borderId="8" fillId="3" fontId="3" numFmtId="0" xfId="0" applyBorder="1" applyFont="1"/>
    <xf borderId="4" fillId="3" fontId="5" numFmtId="0" xfId="0" applyAlignment="1" applyBorder="1" applyFont="1">
      <alignment horizontal="center" vertical="center"/>
    </xf>
    <xf borderId="9" fillId="3" fontId="3" numFmtId="0" xfId="0" applyBorder="1" applyFont="1"/>
    <xf borderId="10" fillId="3" fontId="1" numFmtId="0" xfId="0" applyAlignment="1" applyBorder="1" applyFont="1">
      <alignment horizontal="center" vertical="center"/>
    </xf>
    <xf borderId="11" fillId="4" fontId="3" numFmtId="0" xfId="0" applyBorder="1" applyFill="1" applyFont="1"/>
    <xf borderId="12" fillId="4" fontId="3" numFmtId="0" xfId="0" applyBorder="1" applyFont="1"/>
    <xf borderId="6" fillId="5" fontId="6" numFmtId="0" xfId="0" applyAlignment="1" applyBorder="1" applyFill="1" applyFont="1">
      <alignment horizontal="center" vertical="center"/>
    </xf>
    <xf borderId="7" fillId="4" fontId="3" numFmtId="0" xfId="0" applyBorder="1" applyFont="1"/>
    <xf borderId="8" fillId="4" fontId="3" numFmtId="0" xfId="0" applyBorder="1" applyFont="1"/>
    <xf borderId="13" fillId="4" fontId="3" numFmtId="0" xfId="0" applyBorder="1" applyFont="1"/>
    <xf borderId="10" fillId="4" fontId="1" numFmtId="0" xfId="0" applyAlignment="1" applyBorder="1" applyFont="1">
      <alignment horizontal="center" vertical="center"/>
    </xf>
    <xf borderId="10" fillId="6" fontId="7" numFmtId="0" xfId="0" applyAlignment="1" applyBorder="1" applyFill="1" applyFont="1">
      <alignment horizontal="center"/>
    </xf>
    <xf borderId="10" fillId="6" fontId="7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center" vertical="center"/>
    </xf>
    <xf borderId="9" fillId="6" fontId="3" numFmtId="0" xfId="0" applyBorder="1" applyFont="1"/>
    <xf borderId="5" fillId="6" fontId="3" numFmtId="0" xfId="0" applyBorder="1" applyFont="1"/>
    <xf borderId="10" fillId="6" fontId="1" numFmtId="0" xfId="0" applyAlignment="1" applyBorder="1" applyFont="1">
      <alignment horizontal="center" vertical="center"/>
    </xf>
    <xf borderId="10" fillId="4" fontId="7" numFmtId="0" xfId="0" applyAlignment="1" applyBorder="1" applyFont="1">
      <alignment horizontal="center"/>
    </xf>
    <xf borderId="10" fillId="4" fontId="7" numFmtId="0" xfId="0" applyAlignment="1" applyBorder="1" applyFont="1">
      <alignment horizontal="center" vertical="center"/>
    </xf>
    <xf borderId="10" fillId="6" fontId="7" numFmtId="0" xfId="0" applyAlignment="1" applyBorder="1" applyFont="1">
      <alignment horizontal="center" shrinkToFit="0" vertical="center" wrapText="1"/>
    </xf>
    <xf borderId="10" fillId="4" fontId="8" numFmtId="0" xfId="0" applyAlignment="1" applyBorder="1" applyFont="1">
      <alignment horizontal="center" vertical="center"/>
    </xf>
    <xf borderId="10" fillId="4" fontId="7" numFmtId="0" xfId="0" applyAlignment="1" applyBorder="1" applyFont="1">
      <alignment vertical="center"/>
    </xf>
    <xf borderId="10" fillId="4" fontId="7" numFmtId="0" xfId="0" applyAlignment="1" applyBorder="1" applyFont="1">
      <alignment horizontal="center" shrinkToFit="0" vertical="center" wrapText="1"/>
    </xf>
    <xf borderId="10" fillId="6" fontId="7" numFmtId="0" xfId="0" applyAlignment="1" applyBorder="1" applyFont="1">
      <alignment vertical="center"/>
    </xf>
    <xf borderId="10" fillId="6" fontId="1" numFmtId="0" xfId="0" applyAlignment="1" applyBorder="1" applyFont="1">
      <alignment horizontal="left" vertical="center"/>
    </xf>
    <xf borderId="10" fillId="6" fontId="1" numFmtId="0" xfId="0" applyAlignment="1" applyBorder="1" applyFont="1">
      <alignment horizontal="center"/>
    </xf>
    <xf borderId="10" fillId="6" fontId="1" numFmtId="2" xfId="0" applyAlignment="1" applyBorder="1" applyFont="1" applyNumberFormat="1">
      <alignment horizontal="center"/>
    </xf>
    <xf borderId="10" fillId="4" fontId="1" numFmtId="0" xfId="0" applyAlignment="1" applyBorder="1" applyFont="1">
      <alignment horizontal="left" vertical="center"/>
    </xf>
    <xf borderId="10" fillId="4" fontId="1" numFmtId="0" xfId="0" applyAlignment="1" applyBorder="1" applyFont="1">
      <alignment horizontal="center"/>
    </xf>
    <xf borderId="10" fillId="4" fontId="1" numFmtId="2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14" fillId="3" fontId="2" numFmtId="1" xfId="0" applyBorder="1" applyFont="1" applyNumberFormat="1"/>
    <xf borderId="15" fillId="2" fontId="1" numFmtId="0" xfId="0" applyAlignment="1" applyBorder="1" applyFont="1">
      <alignment horizontal="center" vertical="center"/>
    </xf>
    <xf borderId="16" fillId="4" fontId="3" numFmtId="0" xfId="0" applyBorder="1" applyFont="1"/>
    <xf borderId="6" fillId="3" fontId="9" numFmtId="0" xfId="0" applyAlignment="1" applyBorder="1" applyFont="1">
      <alignment horizontal="center" vertical="center"/>
    </xf>
    <xf borderId="6" fillId="4" fontId="10" numFmtId="0" xfId="0" applyAlignment="1" applyBorder="1" applyFont="1">
      <alignment horizontal="center" vertical="center"/>
    </xf>
    <xf borderId="6" fillId="6" fontId="10" numFmtId="0" xfId="0" applyAlignment="1" applyBorder="1" applyFont="1">
      <alignment horizontal="center" vertical="center"/>
    </xf>
    <xf borderId="7" fillId="6" fontId="3" numFmtId="0" xfId="0" applyBorder="1" applyFont="1"/>
    <xf borderId="8" fillId="6" fontId="3" numFmtId="0" xfId="0" applyBorder="1" applyFont="1"/>
    <xf borderId="10" fillId="4" fontId="11" numFmtId="0" xfId="0" applyAlignment="1" applyBorder="1" applyFont="1">
      <alignment horizontal="center" vertical="center"/>
    </xf>
    <xf borderId="6" fillId="4" fontId="11" numFmtId="0" xfId="0" applyAlignment="1" applyBorder="1" applyFont="1">
      <alignment horizontal="center" vertical="center"/>
    </xf>
    <xf borderId="6" fillId="6" fontId="11" numFmtId="0" xfId="0" applyAlignment="1" applyBorder="1" applyFont="1">
      <alignment horizontal="center" vertical="center"/>
    </xf>
    <xf borderId="6" fillId="6" fontId="1" numFmtId="0" xfId="0" applyAlignment="1" applyBorder="1" applyFont="1">
      <alignment horizontal="center"/>
    </xf>
    <xf borderId="10" fillId="6" fontId="1" numFmtId="0" xfId="0" applyBorder="1" applyFont="1"/>
    <xf borderId="6" fillId="4" fontId="1" numFmtId="0" xfId="0" applyAlignment="1" applyBorder="1" applyFont="1">
      <alignment horizontal="center"/>
    </xf>
    <xf borderId="10" fillId="4" fontId="1" numFmtId="0" xfId="0" applyBorder="1" applyFont="1"/>
    <xf borderId="17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right" vertical="center"/>
    </xf>
    <xf borderId="6" fillId="3" fontId="4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10" fillId="6" fontId="8" numFmtId="0" xfId="0" applyAlignment="1" applyBorder="1" applyFont="1">
      <alignment horizontal="center" readingOrder="0"/>
    </xf>
    <xf borderId="10" fillId="4" fontId="8" numFmtId="0" xfId="0" applyAlignment="1" applyBorder="1" applyFont="1">
      <alignment horizontal="center" readingOrder="0"/>
    </xf>
    <xf borderId="10" fillId="6" fontId="7" numFmtId="0" xfId="0" applyAlignment="1" applyBorder="1" applyFont="1">
      <alignment horizontal="center" textRotation="90" vertical="center"/>
    </xf>
    <xf borderId="10" fillId="4" fontId="12" numFmtId="0" xfId="0" applyAlignment="1" applyBorder="1" applyFont="1">
      <alignment readingOrder="0" vertical="center"/>
    </xf>
    <xf borderId="10" fillId="4" fontId="12" numFmtId="0" xfId="0" applyAlignment="1" applyBorder="1" applyFont="1">
      <alignment horizontal="center" readingOrder="0"/>
    </xf>
    <xf borderId="10" fillId="4" fontId="13" numFmtId="0" xfId="0" applyAlignment="1" applyBorder="1" applyFont="1">
      <alignment horizontal="center" readingOrder="0"/>
    </xf>
    <xf borderId="10" fillId="6" fontId="1" numFmtId="0" xfId="0" applyAlignment="1" applyBorder="1" applyFont="1">
      <alignment vertical="center"/>
    </xf>
    <xf borderId="10" fillId="6" fontId="13" numFmtId="0" xfId="0" applyAlignment="1" applyBorder="1" applyFont="1">
      <alignment horizontal="center" readingOrder="0"/>
    </xf>
    <xf borderId="10" fillId="6" fontId="12" numFmtId="0" xfId="0" applyAlignment="1" applyBorder="1" applyFont="1">
      <alignment horizontal="center" readingOrder="0"/>
    </xf>
    <xf borderId="10" fillId="4" fontId="1" numFmtId="0" xfId="0" applyAlignment="1" applyBorder="1" applyFont="1">
      <alignment vertical="center"/>
    </xf>
    <xf borderId="10" fillId="7" fontId="1" numFmtId="0" xfId="0" applyAlignment="1" applyBorder="1" applyFill="1" applyFont="1">
      <alignment horizontal="left" vertical="center"/>
    </xf>
    <xf borderId="10" fillId="8" fontId="1" numFmtId="0" xfId="0" applyAlignment="1" applyBorder="1" applyFill="1" applyFont="1">
      <alignment horizontal="center"/>
    </xf>
    <xf borderId="10" fillId="7" fontId="1" numFmtId="0" xfId="0" applyAlignment="1" applyBorder="1" applyFont="1">
      <alignment horizontal="center"/>
    </xf>
    <xf borderId="10" fillId="9" fontId="1" numFmtId="0" xfId="0" applyAlignment="1" applyBorder="1" applyFill="1" applyFont="1">
      <alignment horizontal="center"/>
    </xf>
    <xf borderId="6" fillId="7" fontId="7" numFmtId="0" xfId="0" applyAlignment="1" applyBorder="1" applyFont="1">
      <alignment horizontal="center" vertical="center"/>
    </xf>
    <xf borderId="8" fillId="0" fontId="3" numFmtId="0" xfId="0" applyBorder="1" applyFont="1"/>
    <xf borderId="10" fillId="7" fontId="7" numFmtId="0" xfId="0" applyAlignment="1" applyBorder="1" applyFont="1">
      <alignment horizontal="center"/>
    </xf>
    <xf borderId="10" fillId="10" fontId="1" numFmtId="0" xfId="0" applyAlignment="1" applyBorder="1" applyFill="1" applyFont="1">
      <alignment horizontal="center"/>
    </xf>
    <xf borderId="4" fillId="3" fontId="2" numFmtId="1" xfId="0" applyAlignment="1" applyBorder="1" applyFont="1" applyNumberFormat="1">
      <alignment horizontal="center"/>
    </xf>
    <xf borderId="0" fillId="6" fontId="1" numFmtId="0" xfId="0" applyAlignment="1" applyFont="1">
      <alignment horizontal="center"/>
    </xf>
    <xf borderId="0" fillId="6" fontId="1" numFmtId="0" xfId="0" applyAlignment="1" applyFont="1">
      <alignment horizontal="left" vertical="center"/>
    </xf>
    <xf borderId="0" fillId="4" fontId="1" numFmtId="0" xfId="0" applyAlignment="1" applyFont="1">
      <alignment horizontal="center"/>
    </xf>
    <xf borderId="0" fillId="4" fontId="1" numFmtId="0" xfId="0" applyAlignment="1" applyFont="1">
      <alignment horizontal="left" vertical="center"/>
    </xf>
    <xf borderId="18" fillId="6" fontId="1" numFmtId="0" xfId="0" applyAlignment="1" applyBorder="1" applyFont="1">
      <alignment horizontal="center"/>
    </xf>
    <xf borderId="18" fillId="6" fontId="3" numFmtId="0" xfId="0" applyBorder="1" applyFont="1"/>
    <xf borderId="19" fillId="4" fontId="10" numFmtId="0" xfId="0" applyAlignment="1" applyBorder="1" applyFont="1">
      <alignment horizontal="center"/>
    </xf>
    <xf borderId="19" fillId="4" fontId="3" numFmtId="0" xfId="0" applyBorder="1" applyFont="1"/>
    <xf borderId="20" fillId="6" fontId="7" numFmtId="0" xfId="0" applyAlignment="1" applyBorder="1" applyFont="1">
      <alignment horizontal="center"/>
    </xf>
    <xf borderId="21" fillId="6" fontId="7" numFmtId="0" xfId="0" applyAlignment="1" applyBorder="1" applyFont="1">
      <alignment horizontal="center" vertical="center"/>
    </xf>
    <xf borderId="19" fillId="6" fontId="7" numFmtId="0" xfId="0" applyAlignment="1" applyBorder="1" applyFont="1">
      <alignment horizontal="center" vertical="center"/>
    </xf>
    <xf borderId="19" fillId="6" fontId="3" numFmtId="0" xfId="0" applyBorder="1" applyFont="1"/>
    <xf borderId="22" fillId="6" fontId="3" numFmtId="0" xfId="0" applyBorder="1" applyFont="1"/>
    <xf borderId="20" fillId="4" fontId="7" numFmtId="0" xfId="0" applyAlignment="1" applyBorder="1" applyFont="1">
      <alignment horizontal="center"/>
    </xf>
    <xf borderId="23" fillId="4" fontId="3" numFmtId="0" xfId="0" applyBorder="1" applyFont="1"/>
    <xf borderId="19" fillId="4" fontId="7" numFmtId="0" xfId="0" applyAlignment="1" applyBorder="1" applyFont="1">
      <alignment horizontal="center"/>
    </xf>
    <xf borderId="22" fillId="4" fontId="3" numFmtId="0" xfId="0" applyBorder="1" applyFont="1"/>
    <xf borderId="20" fillId="6" fontId="7" numFmtId="0" xfId="0" applyAlignment="1" applyBorder="1" applyFont="1">
      <alignment horizontal="center" vertical="center"/>
    </xf>
    <xf borderId="24" fillId="6" fontId="7" numFmtId="0" xfId="0" applyAlignment="1" applyBorder="1" applyFont="1">
      <alignment horizontal="center" vertical="center"/>
    </xf>
    <xf borderId="25" fillId="4" fontId="1" numFmtId="0" xfId="0" applyAlignment="1" applyBorder="1" applyFont="1">
      <alignment vertical="center"/>
    </xf>
    <xf borderId="26" fillId="4" fontId="1" numFmtId="0" xfId="0" applyAlignment="1" applyBorder="1" applyFont="1">
      <alignment horizontal="center" vertical="center"/>
    </xf>
    <xf borderId="27" fillId="4" fontId="3" numFmtId="0" xfId="0" applyBorder="1" applyFont="1"/>
    <xf borderId="28" fillId="4" fontId="1" numFmtId="0" xfId="0" applyAlignment="1" applyBorder="1" applyFont="1">
      <alignment horizontal="center"/>
    </xf>
    <xf borderId="25" fillId="4" fontId="1" numFmtId="0" xfId="0" applyAlignment="1" applyBorder="1" applyFont="1">
      <alignment horizontal="center"/>
    </xf>
    <xf borderId="29" fillId="6" fontId="1" numFmtId="0" xfId="0" applyAlignment="1" applyBorder="1" applyFont="1">
      <alignment vertical="center"/>
    </xf>
    <xf borderId="26" fillId="6" fontId="1" numFmtId="0" xfId="0" applyAlignment="1" applyBorder="1" applyFont="1">
      <alignment horizontal="center" vertical="center"/>
    </xf>
    <xf borderId="27" fillId="6" fontId="3" numFmtId="0" xfId="0" applyBorder="1" applyFont="1"/>
    <xf borderId="26" fillId="6" fontId="1" numFmtId="0" xfId="0" applyAlignment="1" applyBorder="1" applyFont="1">
      <alignment horizontal="center"/>
    </xf>
    <xf borderId="29" fillId="6" fontId="1" numFmtId="0" xfId="0" applyAlignment="1" applyBorder="1" applyFont="1">
      <alignment horizontal="center"/>
    </xf>
    <xf borderId="29" fillId="4" fontId="1" numFmtId="0" xfId="0" applyAlignment="1" applyBorder="1" applyFont="1">
      <alignment horizontal="center" vertical="center"/>
    </xf>
    <xf borderId="26" fillId="4" fontId="1" numFmtId="0" xfId="0" applyAlignment="1" applyBorder="1" applyFont="1">
      <alignment horizontal="center"/>
    </xf>
    <xf borderId="29" fillId="4" fontId="1" numFmtId="0" xfId="0" applyAlignment="1" applyBorder="1" applyFont="1">
      <alignment horizontal="center"/>
    </xf>
    <xf borderId="29" fillId="6" fontId="1" numFmtId="0" xfId="0" applyAlignment="1" applyBorder="1" applyFont="1">
      <alignment horizontal="center" vertical="center"/>
    </xf>
    <xf borderId="24" fillId="6" fontId="7" numFmtId="0" xfId="0" applyAlignment="1" applyBorder="1" applyFont="1">
      <alignment horizontal="right" vertical="center"/>
    </xf>
    <xf borderId="20" fillId="6" fontId="7" numFmtId="0" xfId="0" applyAlignment="1" applyBorder="1" applyFont="1">
      <alignment horizontal="right" vertical="center"/>
    </xf>
    <xf borderId="30" fillId="6" fontId="7" numFmtId="0" xfId="0" applyAlignment="1" applyBorder="1" applyFont="1">
      <alignment horizontal="center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ABF8F"/>
          <bgColor rgb="FFFABF8F"/>
        </patternFill>
      </fill>
      <border/>
    </dxf>
    <dxf>
      <font>
        <color rgb="FF7F7F7F"/>
      </font>
      <fill>
        <patternFill patternType="solid">
          <fgColor rgb="FF7F7F7F"/>
          <bgColor rgb="FF7F7F7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1</xdr:row>
      <xdr:rowOff>200025</xdr:rowOff>
    </xdr:from>
    <xdr:ext cx="1257300" cy="723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1</xdr:row>
      <xdr:rowOff>209550</xdr:rowOff>
    </xdr:from>
    <xdr:ext cx="609600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1</xdr:row>
      <xdr:rowOff>200025</xdr:rowOff>
    </xdr:from>
    <xdr:ext cx="1257300" cy="723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1</xdr:row>
      <xdr:rowOff>209550</xdr:rowOff>
    </xdr:from>
    <xdr:ext cx="1162050" cy="676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64540"/>
      </a:dk1>
      <a:lt1>
        <a:srgbClr val="FFFFFF"/>
      </a:lt1>
      <a:dk2>
        <a:srgbClr val="264540"/>
      </a:dk2>
      <a:lt2>
        <a:srgbClr val="FFFFFF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1" width="2.75"/>
    <col customWidth="1" min="2" max="2" width="9.13"/>
    <col customWidth="1" min="3" max="3" width="17.75"/>
    <col customWidth="1" min="4" max="4" width="9.88"/>
    <col customWidth="1" min="5" max="35" width="4.63"/>
    <col customWidth="1" min="36" max="48" width="3.0"/>
    <col customWidth="1" min="49" max="49" width="8.0"/>
    <col customWidth="1" min="50" max="50" width="7.0"/>
    <col customWidth="1" min="51" max="51" width="2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>
      <c r="A2" s="3"/>
      <c r="B2" s="4"/>
      <c r="C2" s="5"/>
      <c r="D2" s="6" t="s">
        <v>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8"/>
      <c r="AJ2" s="9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5"/>
      <c r="AY2" s="11"/>
    </row>
    <row r="3" ht="47.25" customHeight="1">
      <c r="A3" s="3"/>
      <c r="B3" s="12"/>
      <c r="C3" s="13"/>
      <c r="D3" s="14" t="s">
        <v>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6"/>
      <c r="AJ3" s="12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3"/>
      <c r="AY3" s="18"/>
    </row>
    <row r="4" hidden="1">
      <c r="A4" s="3"/>
      <c r="B4" s="19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1" t="s">
        <v>2</v>
      </c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3"/>
      <c r="AY4" s="24"/>
    </row>
    <row r="5" hidden="1">
      <c r="A5" s="3"/>
      <c r="B5" s="25"/>
      <c r="C5" s="25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12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3"/>
      <c r="AY5" s="18"/>
    </row>
    <row r="6">
      <c r="A6" s="3"/>
      <c r="B6" s="20" t="s">
        <v>3</v>
      </c>
      <c r="C6" s="20" t="s">
        <v>4</v>
      </c>
      <c r="D6" s="20" t="s">
        <v>5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7" t="s">
        <v>6</v>
      </c>
      <c r="AK6" s="20" t="s">
        <v>7</v>
      </c>
      <c r="AL6" s="20" t="s">
        <v>8</v>
      </c>
      <c r="AM6" s="20" t="s">
        <v>9</v>
      </c>
      <c r="AN6" s="20" t="s">
        <v>10</v>
      </c>
      <c r="AO6" s="20" t="s">
        <v>11</v>
      </c>
      <c r="AP6" s="27" t="s">
        <v>12</v>
      </c>
      <c r="AQ6" s="20" t="s">
        <v>13</v>
      </c>
      <c r="AR6" s="27" t="s">
        <v>14</v>
      </c>
      <c r="AS6" s="20" t="s">
        <v>15</v>
      </c>
      <c r="AT6" s="27" t="s">
        <v>16</v>
      </c>
      <c r="AU6" s="20" t="s">
        <v>17</v>
      </c>
      <c r="AV6" s="27" t="s">
        <v>18</v>
      </c>
      <c r="AW6" s="27" t="s">
        <v>19</v>
      </c>
      <c r="AX6" s="27" t="s">
        <v>20</v>
      </c>
      <c r="AY6" s="24"/>
    </row>
    <row r="7">
      <c r="A7" s="3"/>
      <c r="B7" s="28" t="s">
        <v>21</v>
      </c>
      <c r="C7" s="29"/>
      <c r="D7" s="26"/>
      <c r="E7" s="26">
        <v>1.0</v>
      </c>
      <c r="F7" s="26">
        <v>2.0</v>
      </c>
      <c r="G7" s="26">
        <v>3.0</v>
      </c>
      <c r="H7" s="26">
        <v>4.0</v>
      </c>
      <c r="I7" s="26">
        <v>5.0</v>
      </c>
      <c r="J7" s="26">
        <v>6.0</v>
      </c>
      <c r="K7" s="26">
        <v>7.0</v>
      </c>
      <c r="L7" s="26">
        <v>8.0</v>
      </c>
      <c r="M7" s="26">
        <v>9.0</v>
      </c>
      <c r="N7" s="26">
        <v>10.0</v>
      </c>
      <c r="O7" s="26">
        <v>11.0</v>
      </c>
      <c r="P7" s="26">
        <v>12.0</v>
      </c>
      <c r="Q7" s="26">
        <v>13.0</v>
      </c>
      <c r="R7" s="26">
        <v>14.0</v>
      </c>
      <c r="S7" s="26">
        <v>15.0</v>
      </c>
      <c r="T7" s="26">
        <v>16.0</v>
      </c>
      <c r="U7" s="26">
        <v>17.0</v>
      </c>
      <c r="V7" s="26">
        <v>18.0</v>
      </c>
      <c r="W7" s="26">
        <v>19.0</v>
      </c>
      <c r="X7" s="26">
        <v>20.0</v>
      </c>
      <c r="Y7" s="26">
        <v>21.0</v>
      </c>
      <c r="Z7" s="26">
        <v>22.0</v>
      </c>
      <c r="AA7" s="26">
        <v>23.0</v>
      </c>
      <c r="AB7" s="26">
        <v>24.0</v>
      </c>
      <c r="AC7" s="26">
        <v>25.0</v>
      </c>
      <c r="AD7" s="26">
        <v>26.0</v>
      </c>
      <c r="AE7" s="26">
        <v>27.0</v>
      </c>
      <c r="AF7" s="26">
        <v>28.0</v>
      </c>
      <c r="AG7" s="26">
        <v>29.0</v>
      </c>
      <c r="AH7" s="26">
        <v>30.0</v>
      </c>
      <c r="AI7" s="26">
        <v>31.0</v>
      </c>
      <c r="AJ7" s="30"/>
      <c r="AK7" s="26"/>
      <c r="AL7" s="26"/>
      <c r="AM7" s="26"/>
      <c r="AN7" s="26"/>
      <c r="AO7" s="26"/>
      <c r="AP7" s="30"/>
      <c r="AQ7" s="26"/>
      <c r="AR7" s="30"/>
      <c r="AS7" s="26"/>
      <c r="AT7" s="30"/>
      <c r="AU7" s="26"/>
      <c r="AV7" s="30"/>
      <c r="AW7" s="30"/>
      <c r="AX7" s="30"/>
      <c r="AY7" s="18"/>
    </row>
    <row r="8">
      <c r="A8" s="3"/>
      <c r="B8" s="24" t="s">
        <v>22</v>
      </c>
      <c r="C8" s="31" t="s">
        <v>23</v>
      </c>
      <c r="D8" s="32" t="s">
        <v>24</v>
      </c>
      <c r="E8" s="33" t="s">
        <v>6</v>
      </c>
      <c r="F8" s="33" t="s">
        <v>7</v>
      </c>
      <c r="G8" s="33" t="s">
        <v>25</v>
      </c>
      <c r="H8" s="33" t="s">
        <v>8</v>
      </c>
      <c r="I8" s="33" t="s">
        <v>15</v>
      </c>
      <c r="J8" s="33" t="s">
        <v>17</v>
      </c>
      <c r="K8" s="33" t="s">
        <v>11</v>
      </c>
      <c r="L8" s="33" t="s">
        <v>9</v>
      </c>
      <c r="M8" s="33" t="s">
        <v>10</v>
      </c>
      <c r="N8" s="33" t="s">
        <v>25</v>
      </c>
      <c r="O8" s="33" t="s">
        <v>12</v>
      </c>
      <c r="P8" s="33" t="s">
        <v>13</v>
      </c>
      <c r="Q8" s="33" t="s">
        <v>6</v>
      </c>
      <c r="R8" s="33" t="s">
        <v>6</v>
      </c>
      <c r="S8" s="33" t="s">
        <v>6</v>
      </c>
      <c r="T8" s="33" t="s">
        <v>6</v>
      </c>
      <c r="U8" s="33" t="s">
        <v>25</v>
      </c>
      <c r="V8" s="33" t="s">
        <v>6</v>
      </c>
      <c r="W8" s="33" t="s">
        <v>6</v>
      </c>
      <c r="X8" s="33" t="s">
        <v>6</v>
      </c>
      <c r="Y8" s="33" t="s">
        <v>6</v>
      </c>
      <c r="Z8" s="33" t="s">
        <v>6</v>
      </c>
      <c r="AA8" s="33" t="s">
        <v>6</v>
      </c>
      <c r="AB8" s="33" t="s">
        <v>25</v>
      </c>
      <c r="AC8" s="33" t="s">
        <v>6</v>
      </c>
      <c r="AD8" s="33" t="s">
        <v>6</v>
      </c>
      <c r="AE8" s="33" t="s">
        <v>6</v>
      </c>
      <c r="AF8" s="33" t="s">
        <v>6</v>
      </c>
      <c r="AG8" s="33" t="s">
        <v>6</v>
      </c>
      <c r="AH8" s="33" t="s">
        <v>6</v>
      </c>
      <c r="AI8" s="33" t="s">
        <v>25</v>
      </c>
      <c r="AJ8" s="33">
        <f t="shared" ref="AJ8:AJ607" si="1">COUNTIF(E8:AI8,"P")</f>
        <v>17</v>
      </c>
      <c r="AK8" s="33">
        <f t="shared" ref="AK8:AK607" si="2">COUNTIF(E8:AI8,"L")</f>
        <v>1</v>
      </c>
      <c r="AL8" s="33">
        <f t="shared" ref="AL8:AL607" si="3">COUNTIF(E8:AI8,"HD")</f>
        <v>1</v>
      </c>
      <c r="AM8" s="33">
        <f t="shared" ref="AM8:AM607" si="4">COUNTIF(E8:AI8,"NH")</f>
        <v>1</v>
      </c>
      <c r="AN8" s="33">
        <f t="shared" ref="AN8:AN607" si="5">COUNTIF(E8:AI8,"FH")</f>
        <v>1</v>
      </c>
      <c r="AO8" s="33">
        <f t="shared" ref="AO8:AO607" si="6">COUNTIF(E8:AI8,"T")</f>
        <v>1</v>
      </c>
      <c r="AP8" s="33">
        <f t="shared" ref="AP8:AP607" si="7">COUNTIF(E8:AI8,"ML")</f>
        <v>1</v>
      </c>
      <c r="AQ8" s="33">
        <f t="shared" ref="AQ8:AQ607" si="8">COUNTIF(E8:AI8,"EL")</f>
        <v>1</v>
      </c>
      <c r="AR8" s="33">
        <v>1.0</v>
      </c>
      <c r="AS8" s="33">
        <f t="shared" ref="AS8:AS607" si="9">COUNTIF(E8:AI8,"SL")</f>
        <v>1</v>
      </c>
      <c r="AT8" s="33">
        <v>2.0</v>
      </c>
      <c r="AU8" s="33">
        <f t="shared" ref="AU8:AU607" si="10">COUNTIF(E8:AI8,"CL")</f>
        <v>1</v>
      </c>
      <c r="AV8" s="33">
        <v>2.0</v>
      </c>
      <c r="AW8" s="34">
        <f t="shared" ref="AW8:AW607" si="11">AJ8+AK8+AL8+AM8+AN8+AO8+AP8+AQ8+AS8+AU8</f>
        <v>26</v>
      </c>
      <c r="AX8" s="34">
        <f t="shared" ref="AX8:AX607" si="12">AW8-AK8</f>
        <v>25</v>
      </c>
      <c r="AY8" s="24"/>
    </row>
    <row r="9">
      <c r="A9" s="3"/>
      <c r="B9" s="18" t="s">
        <v>26</v>
      </c>
      <c r="C9" s="29" t="s">
        <v>27</v>
      </c>
      <c r="D9" s="35" t="s">
        <v>24</v>
      </c>
      <c r="E9" s="36" t="s">
        <v>6</v>
      </c>
      <c r="F9" s="36" t="s">
        <v>6</v>
      </c>
      <c r="G9" s="36" t="s">
        <v>25</v>
      </c>
      <c r="H9" s="36" t="s">
        <v>7</v>
      </c>
      <c r="I9" s="36" t="s">
        <v>6</v>
      </c>
      <c r="J9" s="36" t="s">
        <v>6</v>
      </c>
      <c r="K9" s="36" t="s">
        <v>6</v>
      </c>
      <c r="L9" s="36" t="s">
        <v>9</v>
      </c>
      <c r="M9" s="36" t="s">
        <v>10</v>
      </c>
      <c r="N9" s="36" t="s">
        <v>25</v>
      </c>
      <c r="O9" s="36" t="s">
        <v>6</v>
      </c>
      <c r="P9" s="36" t="s">
        <v>6</v>
      </c>
      <c r="Q9" s="36" t="s">
        <v>6</v>
      </c>
      <c r="R9" s="36" t="s">
        <v>6</v>
      </c>
      <c r="S9" s="36" t="s">
        <v>6</v>
      </c>
      <c r="T9" s="36" t="s">
        <v>6</v>
      </c>
      <c r="U9" s="36" t="s">
        <v>25</v>
      </c>
      <c r="V9" s="36" t="s">
        <v>6</v>
      </c>
      <c r="W9" s="36" t="s">
        <v>6</v>
      </c>
      <c r="X9" s="36" t="s">
        <v>6</v>
      </c>
      <c r="Y9" s="36" t="s">
        <v>6</v>
      </c>
      <c r="Z9" s="36" t="s">
        <v>6</v>
      </c>
      <c r="AA9" s="36" t="s">
        <v>6</v>
      </c>
      <c r="AB9" s="36" t="s">
        <v>25</v>
      </c>
      <c r="AC9" s="36" t="s">
        <v>6</v>
      </c>
      <c r="AD9" s="36" t="s">
        <v>6</v>
      </c>
      <c r="AE9" s="36" t="s">
        <v>6</v>
      </c>
      <c r="AF9" s="36" t="s">
        <v>6</v>
      </c>
      <c r="AG9" s="36" t="s">
        <v>6</v>
      </c>
      <c r="AH9" s="36" t="s">
        <v>6</v>
      </c>
      <c r="AI9" s="36" t="s">
        <v>25</v>
      </c>
      <c r="AJ9" s="36">
        <f t="shared" si="1"/>
        <v>23</v>
      </c>
      <c r="AK9" s="36">
        <f t="shared" si="2"/>
        <v>1</v>
      </c>
      <c r="AL9" s="36">
        <f t="shared" si="3"/>
        <v>0</v>
      </c>
      <c r="AM9" s="36">
        <f t="shared" si="4"/>
        <v>1</v>
      </c>
      <c r="AN9" s="36">
        <f t="shared" si="5"/>
        <v>1</v>
      </c>
      <c r="AO9" s="36">
        <f t="shared" si="6"/>
        <v>0</v>
      </c>
      <c r="AP9" s="36">
        <f t="shared" si="7"/>
        <v>0</v>
      </c>
      <c r="AQ9" s="36">
        <f t="shared" si="8"/>
        <v>0</v>
      </c>
      <c r="AR9" s="36">
        <v>1.0</v>
      </c>
      <c r="AS9" s="36">
        <f t="shared" si="9"/>
        <v>0</v>
      </c>
      <c r="AT9" s="36">
        <v>2.0</v>
      </c>
      <c r="AU9" s="36">
        <f t="shared" si="10"/>
        <v>0</v>
      </c>
      <c r="AV9" s="36">
        <v>2.0</v>
      </c>
      <c r="AW9" s="37">
        <f t="shared" si="11"/>
        <v>26</v>
      </c>
      <c r="AX9" s="37">
        <f t="shared" si="12"/>
        <v>25</v>
      </c>
      <c r="AY9" s="18"/>
    </row>
    <row r="10">
      <c r="A10" s="3"/>
      <c r="B10" s="24" t="s">
        <v>28</v>
      </c>
      <c r="C10" s="31" t="s">
        <v>29</v>
      </c>
      <c r="D10" s="32" t="s">
        <v>24</v>
      </c>
      <c r="E10" s="33" t="s">
        <v>6</v>
      </c>
      <c r="F10" s="33" t="s">
        <v>6</v>
      </c>
      <c r="G10" s="33" t="s">
        <v>25</v>
      </c>
      <c r="H10" s="33" t="s">
        <v>6</v>
      </c>
      <c r="I10" s="33" t="s">
        <v>6</v>
      </c>
      <c r="J10" s="33" t="s">
        <v>6</v>
      </c>
      <c r="K10" s="33" t="s">
        <v>6</v>
      </c>
      <c r="L10" s="33" t="s">
        <v>9</v>
      </c>
      <c r="M10" s="33" t="s">
        <v>10</v>
      </c>
      <c r="N10" s="33" t="s">
        <v>25</v>
      </c>
      <c r="O10" s="33" t="s">
        <v>6</v>
      </c>
      <c r="P10" s="33" t="s">
        <v>6</v>
      </c>
      <c r="Q10" s="33" t="s">
        <v>6</v>
      </c>
      <c r="R10" s="33" t="s">
        <v>6</v>
      </c>
      <c r="S10" s="33" t="s">
        <v>6</v>
      </c>
      <c r="T10" s="33" t="s">
        <v>6</v>
      </c>
      <c r="U10" s="33" t="s">
        <v>25</v>
      </c>
      <c r="V10" s="33" t="s">
        <v>6</v>
      </c>
      <c r="W10" s="33" t="s">
        <v>8</v>
      </c>
      <c r="X10" s="33" t="s">
        <v>6</v>
      </c>
      <c r="Y10" s="33" t="s">
        <v>6</v>
      </c>
      <c r="Z10" s="33" t="s">
        <v>6</v>
      </c>
      <c r="AA10" s="33" t="s">
        <v>6</v>
      </c>
      <c r="AB10" s="33" t="s">
        <v>25</v>
      </c>
      <c r="AC10" s="33" t="s">
        <v>6</v>
      </c>
      <c r="AD10" s="33" t="s">
        <v>6</v>
      </c>
      <c r="AE10" s="33" t="s">
        <v>6</v>
      </c>
      <c r="AF10" s="33" t="s">
        <v>6</v>
      </c>
      <c r="AG10" s="33" t="s">
        <v>6</v>
      </c>
      <c r="AH10" s="33" t="s">
        <v>6</v>
      </c>
      <c r="AI10" s="33" t="s">
        <v>25</v>
      </c>
      <c r="AJ10" s="33">
        <f t="shared" si="1"/>
        <v>23</v>
      </c>
      <c r="AK10" s="33">
        <f t="shared" si="2"/>
        <v>0</v>
      </c>
      <c r="AL10" s="33">
        <f t="shared" si="3"/>
        <v>1</v>
      </c>
      <c r="AM10" s="33">
        <f t="shared" si="4"/>
        <v>1</v>
      </c>
      <c r="AN10" s="33">
        <f t="shared" si="5"/>
        <v>1</v>
      </c>
      <c r="AO10" s="33">
        <f t="shared" si="6"/>
        <v>0</v>
      </c>
      <c r="AP10" s="33">
        <f t="shared" si="7"/>
        <v>0</v>
      </c>
      <c r="AQ10" s="33">
        <f t="shared" si="8"/>
        <v>0</v>
      </c>
      <c r="AR10" s="33">
        <v>1.0</v>
      </c>
      <c r="AS10" s="33">
        <f t="shared" si="9"/>
        <v>0</v>
      </c>
      <c r="AT10" s="33">
        <v>2.0</v>
      </c>
      <c r="AU10" s="33">
        <f t="shared" si="10"/>
        <v>0</v>
      </c>
      <c r="AV10" s="33">
        <v>2.0</v>
      </c>
      <c r="AW10" s="34">
        <f t="shared" si="11"/>
        <v>26</v>
      </c>
      <c r="AX10" s="34">
        <f t="shared" si="12"/>
        <v>26</v>
      </c>
      <c r="AY10" s="24"/>
    </row>
    <row r="11">
      <c r="A11" s="3"/>
      <c r="B11" s="18" t="s">
        <v>30</v>
      </c>
      <c r="C11" s="29" t="s">
        <v>31</v>
      </c>
      <c r="D11" s="35" t="s">
        <v>24</v>
      </c>
      <c r="E11" s="36" t="s">
        <v>6</v>
      </c>
      <c r="F11" s="36" t="s">
        <v>6</v>
      </c>
      <c r="G11" s="36" t="s">
        <v>25</v>
      </c>
      <c r="H11" s="36" t="s">
        <v>6</v>
      </c>
      <c r="I11" s="36" t="s">
        <v>6</v>
      </c>
      <c r="J11" s="36" t="s">
        <v>8</v>
      </c>
      <c r="K11" s="36" t="s">
        <v>6</v>
      </c>
      <c r="L11" s="36" t="s">
        <v>9</v>
      </c>
      <c r="M11" s="36" t="s">
        <v>10</v>
      </c>
      <c r="N11" s="36" t="s">
        <v>25</v>
      </c>
      <c r="O11" s="36" t="s">
        <v>6</v>
      </c>
      <c r="P11" s="36" t="s">
        <v>6</v>
      </c>
      <c r="Q11" s="36" t="s">
        <v>6</v>
      </c>
      <c r="R11" s="36" t="s">
        <v>6</v>
      </c>
      <c r="S11" s="36" t="s">
        <v>17</v>
      </c>
      <c r="T11" s="36" t="s">
        <v>6</v>
      </c>
      <c r="U11" s="36" t="s">
        <v>25</v>
      </c>
      <c r="V11" s="36" t="s">
        <v>6</v>
      </c>
      <c r="W11" s="36" t="s">
        <v>6</v>
      </c>
      <c r="X11" s="36" t="s">
        <v>6</v>
      </c>
      <c r="Y11" s="36" t="s">
        <v>6</v>
      </c>
      <c r="Z11" s="36" t="s">
        <v>6</v>
      </c>
      <c r="AA11" s="36" t="s">
        <v>6</v>
      </c>
      <c r="AB11" s="36" t="s">
        <v>25</v>
      </c>
      <c r="AC11" s="36" t="s">
        <v>6</v>
      </c>
      <c r="AD11" s="36" t="s">
        <v>6</v>
      </c>
      <c r="AE11" s="36" t="s">
        <v>17</v>
      </c>
      <c r="AF11" s="36" t="s">
        <v>6</v>
      </c>
      <c r="AG11" s="36" t="s">
        <v>6</v>
      </c>
      <c r="AH11" s="36" t="s">
        <v>6</v>
      </c>
      <c r="AI11" s="36" t="s">
        <v>25</v>
      </c>
      <c r="AJ11" s="36">
        <f t="shared" si="1"/>
        <v>21</v>
      </c>
      <c r="AK11" s="36">
        <f t="shared" si="2"/>
        <v>0</v>
      </c>
      <c r="AL11" s="36">
        <f t="shared" si="3"/>
        <v>1</v>
      </c>
      <c r="AM11" s="36">
        <f t="shared" si="4"/>
        <v>1</v>
      </c>
      <c r="AN11" s="36">
        <f t="shared" si="5"/>
        <v>1</v>
      </c>
      <c r="AO11" s="36">
        <f t="shared" si="6"/>
        <v>0</v>
      </c>
      <c r="AP11" s="36">
        <f t="shared" si="7"/>
        <v>0</v>
      </c>
      <c r="AQ11" s="36">
        <f t="shared" si="8"/>
        <v>0</v>
      </c>
      <c r="AR11" s="36">
        <v>1.0</v>
      </c>
      <c r="AS11" s="36">
        <f t="shared" si="9"/>
        <v>0</v>
      </c>
      <c r="AT11" s="36">
        <v>2.0</v>
      </c>
      <c r="AU11" s="36">
        <f t="shared" si="10"/>
        <v>2</v>
      </c>
      <c r="AV11" s="36">
        <v>2.0</v>
      </c>
      <c r="AW11" s="37">
        <f t="shared" si="11"/>
        <v>26</v>
      </c>
      <c r="AX11" s="37">
        <f t="shared" si="12"/>
        <v>26</v>
      </c>
      <c r="AY11" s="18"/>
    </row>
    <row r="12">
      <c r="A12" s="3"/>
      <c r="B12" s="24" t="s">
        <v>32</v>
      </c>
      <c r="C12" s="31" t="s">
        <v>33</v>
      </c>
      <c r="D12" s="32" t="s">
        <v>24</v>
      </c>
      <c r="E12" s="33" t="s">
        <v>6</v>
      </c>
      <c r="F12" s="33" t="s">
        <v>6</v>
      </c>
      <c r="G12" s="33" t="s">
        <v>25</v>
      </c>
      <c r="H12" s="33" t="s">
        <v>6</v>
      </c>
      <c r="I12" s="33" t="s">
        <v>6</v>
      </c>
      <c r="J12" s="33" t="s">
        <v>6</v>
      </c>
      <c r="K12" s="33" t="s">
        <v>6</v>
      </c>
      <c r="L12" s="33" t="s">
        <v>9</v>
      </c>
      <c r="M12" s="33" t="s">
        <v>10</v>
      </c>
      <c r="N12" s="33" t="s">
        <v>25</v>
      </c>
      <c r="O12" s="33" t="s">
        <v>6</v>
      </c>
      <c r="P12" s="33" t="s">
        <v>6</v>
      </c>
      <c r="Q12" s="33" t="s">
        <v>6</v>
      </c>
      <c r="R12" s="33" t="s">
        <v>6</v>
      </c>
      <c r="S12" s="33" t="s">
        <v>6</v>
      </c>
      <c r="T12" s="33" t="s">
        <v>6</v>
      </c>
      <c r="U12" s="33" t="s">
        <v>25</v>
      </c>
      <c r="V12" s="33" t="s">
        <v>6</v>
      </c>
      <c r="W12" s="33" t="s">
        <v>6</v>
      </c>
      <c r="X12" s="33" t="s">
        <v>17</v>
      </c>
      <c r="Y12" s="33" t="s">
        <v>6</v>
      </c>
      <c r="Z12" s="33" t="s">
        <v>6</v>
      </c>
      <c r="AA12" s="33" t="s">
        <v>6</v>
      </c>
      <c r="AB12" s="33" t="s">
        <v>25</v>
      </c>
      <c r="AC12" s="33" t="s">
        <v>6</v>
      </c>
      <c r="AD12" s="33" t="s">
        <v>6</v>
      </c>
      <c r="AE12" s="33" t="s">
        <v>7</v>
      </c>
      <c r="AF12" s="33" t="s">
        <v>6</v>
      </c>
      <c r="AG12" s="33" t="s">
        <v>15</v>
      </c>
      <c r="AH12" s="33" t="s">
        <v>6</v>
      </c>
      <c r="AI12" s="33" t="s">
        <v>25</v>
      </c>
      <c r="AJ12" s="33">
        <f t="shared" si="1"/>
        <v>21</v>
      </c>
      <c r="AK12" s="33">
        <f t="shared" si="2"/>
        <v>1</v>
      </c>
      <c r="AL12" s="33">
        <f t="shared" si="3"/>
        <v>0</v>
      </c>
      <c r="AM12" s="33">
        <f t="shared" si="4"/>
        <v>1</v>
      </c>
      <c r="AN12" s="33">
        <f t="shared" si="5"/>
        <v>1</v>
      </c>
      <c r="AO12" s="33">
        <f t="shared" si="6"/>
        <v>0</v>
      </c>
      <c r="AP12" s="33">
        <f t="shared" si="7"/>
        <v>0</v>
      </c>
      <c r="AQ12" s="33">
        <f t="shared" si="8"/>
        <v>0</v>
      </c>
      <c r="AR12" s="33">
        <v>1.0</v>
      </c>
      <c r="AS12" s="33">
        <f t="shared" si="9"/>
        <v>1</v>
      </c>
      <c r="AT12" s="33">
        <v>2.0</v>
      </c>
      <c r="AU12" s="33">
        <f t="shared" si="10"/>
        <v>1</v>
      </c>
      <c r="AV12" s="33">
        <v>2.0</v>
      </c>
      <c r="AW12" s="34">
        <f t="shared" si="11"/>
        <v>26</v>
      </c>
      <c r="AX12" s="34">
        <f t="shared" si="12"/>
        <v>25</v>
      </c>
      <c r="AY12" s="24"/>
    </row>
    <row r="13">
      <c r="A13" s="3"/>
      <c r="B13" s="18" t="s">
        <v>34</v>
      </c>
      <c r="C13" s="29" t="s">
        <v>35</v>
      </c>
      <c r="D13" s="35" t="s">
        <v>24</v>
      </c>
      <c r="E13" s="36" t="s">
        <v>6</v>
      </c>
      <c r="F13" s="36" t="s">
        <v>6</v>
      </c>
      <c r="G13" s="36" t="s">
        <v>25</v>
      </c>
      <c r="H13" s="36" t="s">
        <v>6</v>
      </c>
      <c r="I13" s="36" t="s">
        <v>6</v>
      </c>
      <c r="J13" s="36" t="s">
        <v>6</v>
      </c>
      <c r="K13" s="36" t="s">
        <v>6</v>
      </c>
      <c r="L13" s="36" t="s">
        <v>9</v>
      </c>
      <c r="M13" s="36" t="s">
        <v>10</v>
      </c>
      <c r="N13" s="36" t="s">
        <v>25</v>
      </c>
      <c r="O13" s="36" t="s">
        <v>6</v>
      </c>
      <c r="P13" s="36" t="s">
        <v>6</v>
      </c>
      <c r="Q13" s="36" t="s">
        <v>6</v>
      </c>
      <c r="R13" s="36" t="s">
        <v>6</v>
      </c>
      <c r="S13" s="36" t="s">
        <v>6</v>
      </c>
      <c r="T13" s="36" t="s">
        <v>6</v>
      </c>
      <c r="U13" s="36" t="s">
        <v>25</v>
      </c>
      <c r="V13" s="36" t="s">
        <v>6</v>
      </c>
      <c r="W13" s="36" t="s">
        <v>6</v>
      </c>
      <c r="X13" s="36" t="s">
        <v>6</v>
      </c>
      <c r="Y13" s="36" t="s">
        <v>6</v>
      </c>
      <c r="Z13" s="36" t="s">
        <v>6</v>
      </c>
      <c r="AA13" s="36" t="s">
        <v>6</v>
      </c>
      <c r="AB13" s="36" t="s">
        <v>25</v>
      </c>
      <c r="AC13" s="36" t="s">
        <v>6</v>
      </c>
      <c r="AD13" s="36" t="s">
        <v>6</v>
      </c>
      <c r="AE13" s="36" t="s">
        <v>6</v>
      </c>
      <c r="AF13" s="36" t="s">
        <v>6</v>
      </c>
      <c r="AG13" s="36" t="s">
        <v>6</v>
      </c>
      <c r="AH13" s="36" t="s">
        <v>6</v>
      </c>
      <c r="AI13" s="36" t="s">
        <v>25</v>
      </c>
      <c r="AJ13" s="36">
        <f t="shared" si="1"/>
        <v>24</v>
      </c>
      <c r="AK13" s="36">
        <f t="shared" si="2"/>
        <v>0</v>
      </c>
      <c r="AL13" s="36">
        <f t="shared" si="3"/>
        <v>0</v>
      </c>
      <c r="AM13" s="36">
        <f t="shared" si="4"/>
        <v>1</v>
      </c>
      <c r="AN13" s="36">
        <f t="shared" si="5"/>
        <v>1</v>
      </c>
      <c r="AO13" s="36">
        <f t="shared" si="6"/>
        <v>0</v>
      </c>
      <c r="AP13" s="36">
        <f t="shared" si="7"/>
        <v>0</v>
      </c>
      <c r="AQ13" s="36">
        <f t="shared" si="8"/>
        <v>0</v>
      </c>
      <c r="AR13" s="36">
        <v>1.0</v>
      </c>
      <c r="AS13" s="36">
        <f t="shared" si="9"/>
        <v>0</v>
      </c>
      <c r="AT13" s="36">
        <v>2.0</v>
      </c>
      <c r="AU13" s="36">
        <f t="shared" si="10"/>
        <v>0</v>
      </c>
      <c r="AV13" s="36">
        <v>2.0</v>
      </c>
      <c r="AW13" s="37">
        <f t="shared" si="11"/>
        <v>26</v>
      </c>
      <c r="AX13" s="37">
        <f t="shared" si="12"/>
        <v>26</v>
      </c>
      <c r="AY13" s="18"/>
    </row>
    <row r="14">
      <c r="A14" s="3"/>
      <c r="B14" s="24" t="s">
        <v>36</v>
      </c>
      <c r="C14" s="31" t="s">
        <v>37</v>
      </c>
      <c r="D14" s="32" t="s">
        <v>24</v>
      </c>
      <c r="E14" s="33" t="s">
        <v>6</v>
      </c>
      <c r="F14" s="33" t="s">
        <v>6</v>
      </c>
      <c r="G14" s="33" t="s">
        <v>25</v>
      </c>
      <c r="H14" s="33" t="s">
        <v>6</v>
      </c>
      <c r="I14" s="33" t="s">
        <v>7</v>
      </c>
      <c r="J14" s="33" t="s">
        <v>6</v>
      </c>
      <c r="K14" s="33" t="s">
        <v>6</v>
      </c>
      <c r="L14" s="33" t="s">
        <v>9</v>
      </c>
      <c r="M14" s="33" t="s">
        <v>10</v>
      </c>
      <c r="N14" s="33" t="s">
        <v>25</v>
      </c>
      <c r="O14" s="33" t="s">
        <v>6</v>
      </c>
      <c r="P14" s="33" t="s">
        <v>6</v>
      </c>
      <c r="Q14" s="33" t="s">
        <v>6</v>
      </c>
      <c r="R14" s="33" t="s">
        <v>6</v>
      </c>
      <c r="S14" s="33" t="s">
        <v>6</v>
      </c>
      <c r="T14" s="33" t="s">
        <v>6</v>
      </c>
      <c r="U14" s="33" t="s">
        <v>25</v>
      </c>
      <c r="V14" s="33" t="s">
        <v>6</v>
      </c>
      <c r="W14" s="33" t="s">
        <v>6</v>
      </c>
      <c r="X14" s="33" t="s">
        <v>6</v>
      </c>
      <c r="Y14" s="33" t="s">
        <v>15</v>
      </c>
      <c r="Z14" s="33" t="s">
        <v>6</v>
      </c>
      <c r="AA14" s="33" t="s">
        <v>6</v>
      </c>
      <c r="AB14" s="33" t="s">
        <v>25</v>
      </c>
      <c r="AC14" s="33" t="s">
        <v>6</v>
      </c>
      <c r="AD14" s="33" t="s">
        <v>6</v>
      </c>
      <c r="AE14" s="33" t="s">
        <v>6</v>
      </c>
      <c r="AF14" s="33" t="s">
        <v>6</v>
      </c>
      <c r="AG14" s="33" t="s">
        <v>6</v>
      </c>
      <c r="AH14" s="33" t="s">
        <v>6</v>
      </c>
      <c r="AI14" s="33" t="s">
        <v>25</v>
      </c>
      <c r="AJ14" s="33">
        <f t="shared" si="1"/>
        <v>22</v>
      </c>
      <c r="AK14" s="33">
        <f t="shared" si="2"/>
        <v>1</v>
      </c>
      <c r="AL14" s="33">
        <f t="shared" si="3"/>
        <v>0</v>
      </c>
      <c r="AM14" s="33">
        <f t="shared" si="4"/>
        <v>1</v>
      </c>
      <c r="AN14" s="33">
        <f t="shared" si="5"/>
        <v>1</v>
      </c>
      <c r="AO14" s="33">
        <f t="shared" si="6"/>
        <v>0</v>
      </c>
      <c r="AP14" s="33">
        <f t="shared" si="7"/>
        <v>0</v>
      </c>
      <c r="AQ14" s="33">
        <f t="shared" si="8"/>
        <v>0</v>
      </c>
      <c r="AR14" s="33">
        <v>1.0</v>
      </c>
      <c r="AS14" s="33">
        <f t="shared" si="9"/>
        <v>1</v>
      </c>
      <c r="AT14" s="33">
        <v>2.0</v>
      </c>
      <c r="AU14" s="33">
        <f t="shared" si="10"/>
        <v>0</v>
      </c>
      <c r="AV14" s="33">
        <v>2.0</v>
      </c>
      <c r="AW14" s="34">
        <f t="shared" si="11"/>
        <v>26</v>
      </c>
      <c r="AX14" s="34">
        <f t="shared" si="12"/>
        <v>25</v>
      </c>
      <c r="AY14" s="24"/>
    </row>
    <row r="15">
      <c r="A15" s="3"/>
      <c r="B15" s="18" t="s">
        <v>38</v>
      </c>
      <c r="C15" s="29" t="s">
        <v>39</v>
      </c>
      <c r="D15" s="35" t="s">
        <v>24</v>
      </c>
      <c r="E15" s="36" t="s">
        <v>6</v>
      </c>
      <c r="F15" s="36" t="s">
        <v>6</v>
      </c>
      <c r="G15" s="36" t="s">
        <v>25</v>
      </c>
      <c r="H15" s="36" t="s">
        <v>6</v>
      </c>
      <c r="I15" s="36" t="s">
        <v>6</v>
      </c>
      <c r="J15" s="36" t="s">
        <v>6</v>
      </c>
      <c r="K15" s="36" t="s">
        <v>6</v>
      </c>
      <c r="L15" s="36" t="s">
        <v>9</v>
      </c>
      <c r="M15" s="36" t="s">
        <v>10</v>
      </c>
      <c r="N15" s="36" t="s">
        <v>25</v>
      </c>
      <c r="O15" s="36" t="s">
        <v>6</v>
      </c>
      <c r="P15" s="36" t="s">
        <v>6</v>
      </c>
      <c r="Q15" s="36" t="s">
        <v>6</v>
      </c>
      <c r="R15" s="36" t="s">
        <v>6</v>
      </c>
      <c r="S15" s="36" t="s">
        <v>6</v>
      </c>
      <c r="T15" s="36" t="s">
        <v>6</v>
      </c>
      <c r="U15" s="36" t="s">
        <v>25</v>
      </c>
      <c r="V15" s="36" t="s">
        <v>6</v>
      </c>
      <c r="W15" s="36" t="s">
        <v>8</v>
      </c>
      <c r="X15" s="36" t="s">
        <v>6</v>
      </c>
      <c r="Y15" s="36" t="s">
        <v>6</v>
      </c>
      <c r="Z15" s="36" t="s">
        <v>6</v>
      </c>
      <c r="AA15" s="36" t="s">
        <v>6</v>
      </c>
      <c r="AB15" s="36" t="s">
        <v>25</v>
      </c>
      <c r="AC15" s="36" t="s">
        <v>6</v>
      </c>
      <c r="AD15" s="36" t="s">
        <v>6</v>
      </c>
      <c r="AE15" s="36" t="s">
        <v>7</v>
      </c>
      <c r="AF15" s="36" t="s">
        <v>6</v>
      </c>
      <c r="AG15" s="36" t="s">
        <v>6</v>
      </c>
      <c r="AH15" s="36" t="s">
        <v>6</v>
      </c>
      <c r="AI15" s="36" t="s">
        <v>25</v>
      </c>
      <c r="AJ15" s="36">
        <f t="shared" si="1"/>
        <v>22</v>
      </c>
      <c r="AK15" s="36">
        <f t="shared" si="2"/>
        <v>1</v>
      </c>
      <c r="AL15" s="36">
        <f t="shared" si="3"/>
        <v>1</v>
      </c>
      <c r="AM15" s="36">
        <f t="shared" si="4"/>
        <v>1</v>
      </c>
      <c r="AN15" s="36">
        <f t="shared" si="5"/>
        <v>1</v>
      </c>
      <c r="AO15" s="36">
        <f t="shared" si="6"/>
        <v>0</v>
      </c>
      <c r="AP15" s="36">
        <f t="shared" si="7"/>
        <v>0</v>
      </c>
      <c r="AQ15" s="36">
        <f t="shared" si="8"/>
        <v>0</v>
      </c>
      <c r="AR15" s="36">
        <v>1.0</v>
      </c>
      <c r="AS15" s="36">
        <f t="shared" si="9"/>
        <v>0</v>
      </c>
      <c r="AT15" s="36">
        <v>2.0</v>
      </c>
      <c r="AU15" s="36">
        <f t="shared" si="10"/>
        <v>0</v>
      </c>
      <c r="AV15" s="36">
        <v>2.0</v>
      </c>
      <c r="AW15" s="37">
        <f t="shared" si="11"/>
        <v>26</v>
      </c>
      <c r="AX15" s="37">
        <f t="shared" si="12"/>
        <v>25</v>
      </c>
      <c r="AY15" s="18"/>
    </row>
    <row r="16">
      <c r="A16" s="3"/>
      <c r="B16" s="24" t="s">
        <v>40</v>
      </c>
      <c r="C16" s="31" t="s">
        <v>41</v>
      </c>
      <c r="D16" s="32" t="s">
        <v>24</v>
      </c>
      <c r="E16" s="33" t="s">
        <v>6</v>
      </c>
      <c r="F16" s="33" t="s">
        <v>6</v>
      </c>
      <c r="G16" s="33" t="s">
        <v>25</v>
      </c>
      <c r="H16" s="33" t="s">
        <v>6</v>
      </c>
      <c r="I16" s="33" t="s">
        <v>7</v>
      </c>
      <c r="J16" s="33" t="s">
        <v>6</v>
      </c>
      <c r="K16" s="33" t="s">
        <v>6</v>
      </c>
      <c r="L16" s="33" t="s">
        <v>9</v>
      </c>
      <c r="M16" s="33" t="s">
        <v>10</v>
      </c>
      <c r="N16" s="33" t="s">
        <v>25</v>
      </c>
      <c r="O16" s="33" t="s">
        <v>6</v>
      </c>
      <c r="P16" s="33" t="s">
        <v>6</v>
      </c>
      <c r="Q16" s="33" t="s">
        <v>6</v>
      </c>
      <c r="R16" s="33" t="s">
        <v>15</v>
      </c>
      <c r="S16" s="33" t="s">
        <v>6</v>
      </c>
      <c r="T16" s="33" t="s">
        <v>6</v>
      </c>
      <c r="U16" s="33" t="s">
        <v>25</v>
      </c>
      <c r="V16" s="33" t="s">
        <v>6</v>
      </c>
      <c r="W16" s="33" t="s">
        <v>6</v>
      </c>
      <c r="X16" s="33" t="s">
        <v>6</v>
      </c>
      <c r="Y16" s="33" t="s">
        <v>6</v>
      </c>
      <c r="Z16" s="33" t="s">
        <v>6</v>
      </c>
      <c r="AA16" s="33" t="s">
        <v>6</v>
      </c>
      <c r="AB16" s="33" t="s">
        <v>25</v>
      </c>
      <c r="AC16" s="33" t="s">
        <v>6</v>
      </c>
      <c r="AD16" s="33" t="s">
        <v>6</v>
      </c>
      <c r="AE16" s="33" t="s">
        <v>6</v>
      </c>
      <c r="AF16" s="33" t="s">
        <v>6</v>
      </c>
      <c r="AG16" s="33" t="s">
        <v>6</v>
      </c>
      <c r="AH16" s="33" t="s">
        <v>6</v>
      </c>
      <c r="AI16" s="33" t="s">
        <v>25</v>
      </c>
      <c r="AJ16" s="33">
        <f t="shared" si="1"/>
        <v>22</v>
      </c>
      <c r="AK16" s="33">
        <f t="shared" si="2"/>
        <v>1</v>
      </c>
      <c r="AL16" s="33">
        <f t="shared" si="3"/>
        <v>0</v>
      </c>
      <c r="AM16" s="33">
        <f t="shared" si="4"/>
        <v>1</v>
      </c>
      <c r="AN16" s="33">
        <f t="shared" si="5"/>
        <v>1</v>
      </c>
      <c r="AO16" s="33">
        <f t="shared" si="6"/>
        <v>0</v>
      </c>
      <c r="AP16" s="33">
        <f t="shared" si="7"/>
        <v>0</v>
      </c>
      <c r="AQ16" s="33">
        <f t="shared" si="8"/>
        <v>0</v>
      </c>
      <c r="AR16" s="33">
        <v>1.0</v>
      </c>
      <c r="AS16" s="33">
        <f t="shared" si="9"/>
        <v>1</v>
      </c>
      <c r="AT16" s="33">
        <v>2.0</v>
      </c>
      <c r="AU16" s="33">
        <f t="shared" si="10"/>
        <v>0</v>
      </c>
      <c r="AV16" s="33">
        <v>2.0</v>
      </c>
      <c r="AW16" s="34">
        <f t="shared" si="11"/>
        <v>26</v>
      </c>
      <c r="AX16" s="34">
        <f t="shared" si="12"/>
        <v>25</v>
      </c>
      <c r="AY16" s="24"/>
    </row>
    <row r="17">
      <c r="A17" s="3"/>
      <c r="B17" s="18" t="s">
        <v>42</v>
      </c>
      <c r="C17" s="29" t="s">
        <v>43</v>
      </c>
      <c r="D17" s="35" t="s">
        <v>24</v>
      </c>
      <c r="E17" s="36" t="s">
        <v>6</v>
      </c>
      <c r="F17" s="36" t="s">
        <v>6</v>
      </c>
      <c r="G17" s="36" t="s">
        <v>25</v>
      </c>
      <c r="H17" s="36" t="s">
        <v>6</v>
      </c>
      <c r="I17" s="36" t="s">
        <v>6</v>
      </c>
      <c r="J17" s="36" t="s">
        <v>6</v>
      </c>
      <c r="K17" s="36" t="s">
        <v>6</v>
      </c>
      <c r="L17" s="36" t="s">
        <v>9</v>
      </c>
      <c r="M17" s="36" t="s">
        <v>10</v>
      </c>
      <c r="N17" s="36" t="s">
        <v>25</v>
      </c>
      <c r="O17" s="36" t="s">
        <v>6</v>
      </c>
      <c r="P17" s="36" t="s">
        <v>6</v>
      </c>
      <c r="Q17" s="36" t="s">
        <v>6</v>
      </c>
      <c r="R17" s="36" t="s">
        <v>6</v>
      </c>
      <c r="S17" s="36" t="s">
        <v>6</v>
      </c>
      <c r="T17" s="36" t="s">
        <v>6</v>
      </c>
      <c r="U17" s="36" t="s">
        <v>25</v>
      </c>
      <c r="V17" s="36" t="s">
        <v>7</v>
      </c>
      <c r="W17" s="36" t="s">
        <v>6</v>
      </c>
      <c r="X17" s="36" t="s">
        <v>6</v>
      </c>
      <c r="Y17" s="36" t="s">
        <v>6</v>
      </c>
      <c r="Z17" s="36" t="s">
        <v>7</v>
      </c>
      <c r="AA17" s="36" t="s">
        <v>6</v>
      </c>
      <c r="AB17" s="36" t="s">
        <v>25</v>
      </c>
      <c r="AC17" s="36" t="s">
        <v>7</v>
      </c>
      <c r="AD17" s="36" t="s">
        <v>6</v>
      </c>
      <c r="AE17" s="36" t="s">
        <v>6</v>
      </c>
      <c r="AF17" s="36" t="s">
        <v>6</v>
      </c>
      <c r="AG17" s="36" t="s">
        <v>6</v>
      </c>
      <c r="AH17" s="36" t="s">
        <v>6</v>
      </c>
      <c r="AI17" s="36" t="s">
        <v>25</v>
      </c>
      <c r="AJ17" s="36">
        <f t="shared" si="1"/>
        <v>21</v>
      </c>
      <c r="AK17" s="36">
        <f t="shared" si="2"/>
        <v>3</v>
      </c>
      <c r="AL17" s="36">
        <f t="shared" si="3"/>
        <v>0</v>
      </c>
      <c r="AM17" s="36">
        <f t="shared" si="4"/>
        <v>1</v>
      </c>
      <c r="AN17" s="36">
        <f t="shared" si="5"/>
        <v>1</v>
      </c>
      <c r="AO17" s="36">
        <f t="shared" si="6"/>
        <v>0</v>
      </c>
      <c r="AP17" s="36">
        <f t="shared" si="7"/>
        <v>0</v>
      </c>
      <c r="AQ17" s="36">
        <f t="shared" si="8"/>
        <v>0</v>
      </c>
      <c r="AR17" s="36">
        <v>1.0</v>
      </c>
      <c r="AS17" s="36">
        <f t="shared" si="9"/>
        <v>0</v>
      </c>
      <c r="AT17" s="36">
        <v>2.0</v>
      </c>
      <c r="AU17" s="36">
        <f t="shared" si="10"/>
        <v>0</v>
      </c>
      <c r="AV17" s="36">
        <v>2.0</v>
      </c>
      <c r="AW17" s="37">
        <f t="shared" si="11"/>
        <v>26</v>
      </c>
      <c r="AX17" s="37">
        <f t="shared" si="12"/>
        <v>23</v>
      </c>
      <c r="AY17" s="18"/>
    </row>
    <row r="18">
      <c r="A18" s="3"/>
      <c r="B18" s="24" t="s">
        <v>44</v>
      </c>
      <c r="C18" s="31" t="s">
        <v>45</v>
      </c>
      <c r="D18" s="32" t="s">
        <v>24</v>
      </c>
      <c r="E18" s="33" t="s">
        <v>6</v>
      </c>
      <c r="F18" s="33" t="s">
        <v>6</v>
      </c>
      <c r="G18" s="33" t="s">
        <v>25</v>
      </c>
      <c r="H18" s="33" t="s">
        <v>6</v>
      </c>
      <c r="I18" s="33" t="s">
        <v>6</v>
      </c>
      <c r="J18" s="33" t="s">
        <v>6</v>
      </c>
      <c r="K18" s="33" t="s">
        <v>6</v>
      </c>
      <c r="L18" s="33" t="s">
        <v>9</v>
      </c>
      <c r="M18" s="33" t="s">
        <v>10</v>
      </c>
      <c r="N18" s="33" t="s">
        <v>25</v>
      </c>
      <c r="O18" s="33" t="s">
        <v>6</v>
      </c>
      <c r="P18" s="33" t="s">
        <v>6</v>
      </c>
      <c r="Q18" s="33" t="s">
        <v>6</v>
      </c>
      <c r="R18" s="33" t="s">
        <v>6</v>
      </c>
      <c r="S18" s="33" t="s">
        <v>6</v>
      </c>
      <c r="T18" s="33" t="s">
        <v>6</v>
      </c>
      <c r="U18" s="33" t="s">
        <v>25</v>
      </c>
      <c r="V18" s="33" t="s">
        <v>6</v>
      </c>
      <c r="W18" s="33" t="s">
        <v>6</v>
      </c>
      <c r="X18" s="33" t="s">
        <v>6</v>
      </c>
      <c r="Y18" s="33" t="s">
        <v>6</v>
      </c>
      <c r="Z18" s="33" t="s">
        <v>6</v>
      </c>
      <c r="AA18" s="33" t="s">
        <v>6</v>
      </c>
      <c r="AB18" s="33" t="s">
        <v>25</v>
      </c>
      <c r="AC18" s="33" t="s">
        <v>6</v>
      </c>
      <c r="AD18" s="33" t="s">
        <v>6</v>
      </c>
      <c r="AE18" s="33" t="s">
        <v>6</v>
      </c>
      <c r="AF18" s="33" t="s">
        <v>6</v>
      </c>
      <c r="AG18" s="33" t="s">
        <v>6</v>
      </c>
      <c r="AH18" s="33" t="s">
        <v>6</v>
      </c>
      <c r="AI18" s="33" t="s">
        <v>25</v>
      </c>
      <c r="AJ18" s="33">
        <f t="shared" si="1"/>
        <v>24</v>
      </c>
      <c r="AK18" s="33">
        <f t="shared" si="2"/>
        <v>0</v>
      </c>
      <c r="AL18" s="33">
        <f t="shared" si="3"/>
        <v>0</v>
      </c>
      <c r="AM18" s="33">
        <f t="shared" si="4"/>
        <v>1</v>
      </c>
      <c r="AN18" s="33">
        <f t="shared" si="5"/>
        <v>1</v>
      </c>
      <c r="AO18" s="33">
        <f t="shared" si="6"/>
        <v>0</v>
      </c>
      <c r="AP18" s="33">
        <f t="shared" si="7"/>
        <v>0</v>
      </c>
      <c r="AQ18" s="33">
        <f t="shared" si="8"/>
        <v>0</v>
      </c>
      <c r="AR18" s="33">
        <v>1.0</v>
      </c>
      <c r="AS18" s="33">
        <f t="shared" si="9"/>
        <v>0</v>
      </c>
      <c r="AT18" s="33">
        <v>2.0</v>
      </c>
      <c r="AU18" s="33">
        <f t="shared" si="10"/>
        <v>0</v>
      </c>
      <c r="AV18" s="33">
        <v>2.0</v>
      </c>
      <c r="AW18" s="34">
        <f t="shared" si="11"/>
        <v>26</v>
      </c>
      <c r="AX18" s="34">
        <f t="shared" si="12"/>
        <v>26</v>
      </c>
      <c r="AY18" s="24"/>
    </row>
    <row r="19">
      <c r="A19" s="3"/>
      <c r="B19" s="18" t="s">
        <v>46</v>
      </c>
      <c r="C19" s="29" t="s">
        <v>47</v>
      </c>
      <c r="D19" s="35" t="s">
        <v>24</v>
      </c>
      <c r="E19" s="36" t="s">
        <v>6</v>
      </c>
      <c r="F19" s="36" t="s">
        <v>6</v>
      </c>
      <c r="G19" s="36" t="s">
        <v>25</v>
      </c>
      <c r="H19" s="36" t="s">
        <v>6</v>
      </c>
      <c r="I19" s="36" t="s">
        <v>7</v>
      </c>
      <c r="J19" s="36" t="s">
        <v>6</v>
      </c>
      <c r="K19" s="36" t="s">
        <v>6</v>
      </c>
      <c r="L19" s="36" t="s">
        <v>9</v>
      </c>
      <c r="M19" s="36" t="s">
        <v>10</v>
      </c>
      <c r="N19" s="36" t="s">
        <v>25</v>
      </c>
      <c r="O19" s="36" t="s">
        <v>6</v>
      </c>
      <c r="P19" s="36" t="s">
        <v>6</v>
      </c>
      <c r="Q19" s="36" t="s">
        <v>7</v>
      </c>
      <c r="R19" s="36" t="s">
        <v>6</v>
      </c>
      <c r="S19" s="36" t="s">
        <v>6</v>
      </c>
      <c r="T19" s="36" t="s">
        <v>6</v>
      </c>
      <c r="U19" s="36" t="s">
        <v>25</v>
      </c>
      <c r="V19" s="36" t="s">
        <v>6</v>
      </c>
      <c r="W19" s="36" t="s">
        <v>8</v>
      </c>
      <c r="X19" s="36" t="s">
        <v>6</v>
      </c>
      <c r="Y19" s="36" t="s">
        <v>6</v>
      </c>
      <c r="Z19" s="36" t="s">
        <v>6</v>
      </c>
      <c r="AA19" s="36" t="s">
        <v>6</v>
      </c>
      <c r="AB19" s="36" t="s">
        <v>25</v>
      </c>
      <c r="AC19" s="36" t="s">
        <v>6</v>
      </c>
      <c r="AD19" s="36" t="s">
        <v>6</v>
      </c>
      <c r="AE19" s="36" t="s">
        <v>17</v>
      </c>
      <c r="AF19" s="36" t="s">
        <v>6</v>
      </c>
      <c r="AG19" s="36" t="s">
        <v>6</v>
      </c>
      <c r="AH19" s="36" t="s">
        <v>6</v>
      </c>
      <c r="AI19" s="36" t="s">
        <v>25</v>
      </c>
      <c r="AJ19" s="36">
        <f t="shared" si="1"/>
        <v>20</v>
      </c>
      <c r="AK19" s="36">
        <f t="shared" si="2"/>
        <v>2</v>
      </c>
      <c r="AL19" s="36">
        <f t="shared" si="3"/>
        <v>1</v>
      </c>
      <c r="AM19" s="36">
        <f t="shared" si="4"/>
        <v>1</v>
      </c>
      <c r="AN19" s="36">
        <f t="shared" si="5"/>
        <v>1</v>
      </c>
      <c r="AO19" s="36">
        <f t="shared" si="6"/>
        <v>0</v>
      </c>
      <c r="AP19" s="36">
        <f t="shared" si="7"/>
        <v>0</v>
      </c>
      <c r="AQ19" s="36">
        <f t="shared" si="8"/>
        <v>0</v>
      </c>
      <c r="AR19" s="36">
        <v>1.0</v>
      </c>
      <c r="AS19" s="36">
        <f t="shared" si="9"/>
        <v>0</v>
      </c>
      <c r="AT19" s="36">
        <v>2.0</v>
      </c>
      <c r="AU19" s="36">
        <f t="shared" si="10"/>
        <v>1</v>
      </c>
      <c r="AV19" s="36">
        <v>2.0</v>
      </c>
      <c r="AW19" s="37">
        <f t="shared" si="11"/>
        <v>26</v>
      </c>
      <c r="AX19" s="37">
        <f t="shared" si="12"/>
        <v>24</v>
      </c>
      <c r="AY19" s="18"/>
    </row>
    <row r="20">
      <c r="A20" s="3"/>
      <c r="B20" s="24" t="s">
        <v>48</v>
      </c>
      <c r="C20" s="31" t="s">
        <v>49</v>
      </c>
      <c r="D20" s="32" t="s">
        <v>24</v>
      </c>
      <c r="E20" s="33" t="s">
        <v>6</v>
      </c>
      <c r="F20" s="33" t="s">
        <v>6</v>
      </c>
      <c r="G20" s="33" t="s">
        <v>25</v>
      </c>
      <c r="H20" s="33" t="s">
        <v>6</v>
      </c>
      <c r="I20" s="33" t="s">
        <v>6</v>
      </c>
      <c r="J20" s="33" t="s">
        <v>6</v>
      </c>
      <c r="K20" s="33" t="s">
        <v>6</v>
      </c>
      <c r="L20" s="33" t="s">
        <v>9</v>
      </c>
      <c r="M20" s="33" t="s">
        <v>10</v>
      </c>
      <c r="N20" s="33" t="s">
        <v>25</v>
      </c>
      <c r="O20" s="33" t="s">
        <v>7</v>
      </c>
      <c r="P20" s="33" t="s">
        <v>6</v>
      </c>
      <c r="Q20" s="33" t="s">
        <v>6</v>
      </c>
      <c r="R20" s="33" t="s">
        <v>6</v>
      </c>
      <c r="S20" s="33" t="s">
        <v>6</v>
      </c>
      <c r="T20" s="33" t="s">
        <v>6</v>
      </c>
      <c r="U20" s="33" t="s">
        <v>25</v>
      </c>
      <c r="V20" s="33" t="s">
        <v>11</v>
      </c>
      <c r="W20" s="33" t="s">
        <v>11</v>
      </c>
      <c r="X20" s="33" t="s">
        <v>11</v>
      </c>
      <c r="Y20" s="33" t="s">
        <v>11</v>
      </c>
      <c r="Z20" s="33" t="s">
        <v>11</v>
      </c>
      <c r="AA20" s="33" t="s">
        <v>11</v>
      </c>
      <c r="AB20" s="33" t="s">
        <v>25</v>
      </c>
      <c r="AC20" s="33" t="s">
        <v>6</v>
      </c>
      <c r="AD20" s="33" t="s">
        <v>6</v>
      </c>
      <c r="AE20" s="33" t="s">
        <v>6</v>
      </c>
      <c r="AF20" s="33" t="s">
        <v>6</v>
      </c>
      <c r="AG20" s="33" t="s">
        <v>15</v>
      </c>
      <c r="AH20" s="33" t="s">
        <v>6</v>
      </c>
      <c r="AI20" s="33" t="s">
        <v>25</v>
      </c>
      <c r="AJ20" s="33">
        <f t="shared" si="1"/>
        <v>16</v>
      </c>
      <c r="AK20" s="33">
        <f t="shared" si="2"/>
        <v>1</v>
      </c>
      <c r="AL20" s="33">
        <f t="shared" si="3"/>
        <v>0</v>
      </c>
      <c r="AM20" s="33">
        <f t="shared" si="4"/>
        <v>1</v>
      </c>
      <c r="AN20" s="33">
        <f t="shared" si="5"/>
        <v>1</v>
      </c>
      <c r="AO20" s="33">
        <f t="shared" si="6"/>
        <v>6</v>
      </c>
      <c r="AP20" s="33">
        <f t="shared" si="7"/>
        <v>0</v>
      </c>
      <c r="AQ20" s="33">
        <f t="shared" si="8"/>
        <v>0</v>
      </c>
      <c r="AR20" s="33">
        <v>1.0</v>
      </c>
      <c r="AS20" s="33">
        <f t="shared" si="9"/>
        <v>1</v>
      </c>
      <c r="AT20" s="33">
        <v>2.0</v>
      </c>
      <c r="AU20" s="33">
        <f t="shared" si="10"/>
        <v>0</v>
      </c>
      <c r="AV20" s="33">
        <v>2.0</v>
      </c>
      <c r="AW20" s="34">
        <f t="shared" si="11"/>
        <v>26</v>
      </c>
      <c r="AX20" s="34">
        <f t="shared" si="12"/>
        <v>25</v>
      </c>
      <c r="AY20" s="24"/>
    </row>
    <row r="21" ht="15.75" customHeight="1">
      <c r="A21" s="3"/>
      <c r="B21" s="18" t="s">
        <v>50</v>
      </c>
      <c r="C21" s="29" t="s">
        <v>51</v>
      </c>
      <c r="D21" s="35" t="s">
        <v>24</v>
      </c>
      <c r="E21" s="36" t="s">
        <v>6</v>
      </c>
      <c r="F21" s="36" t="s">
        <v>6</v>
      </c>
      <c r="G21" s="36" t="s">
        <v>25</v>
      </c>
      <c r="H21" s="36" t="s">
        <v>6</v>
      </c>
      <c r="I21" s="36" t="s">
        <v>6</v>
      </c>
      <c r="J21" s="36" t="s">
        <v>6</v>
      </c>
      <c r="K21" s="36" t="s">
        <v>6</v>
      </c>
      <c r="L21" s="36" t="s">
        <v>9</v>
      </c>
      <c r="M21" s="36" t="s">
        <v>10</v>
      </c>
      <c r="N21" s="36" t="s">
        <v>25</v>
      </c>
      <c r="O21" s="36" t="s">
        <v>6</v>
      </c>
      <c r="P21" s="36" t="s">
        <v>6</v>
      </c>
      <c r="Q21" s="36" t="s">
        <v>6</v>
      </c>
      <c r="R21" s="36" t="s">
        <v>6</v>
      </c>
      <c r="S21" s="36" t="s">
        <v>6</v>
      </c>
      <c r="T21" s="36" t="s">
        <v>6</v>
      </c>
      <c r="U21" s="36" t="s">
        <v>25</v>
      </c>
      <c r="V21" s="36" t="s">
        <v>6</v>
      </c>
      <c r="W21" s="36" t="s">
        <v>6</v>
      </c>
      <c r="X21" s="36" t="s">
        <v>6</v>
      </c>
      <c r="Y21" s="36" t="s">
        <v>6</v>
      </c>
      <c r="Z21" s="36" t="s">
        <v>8</v>
      </c>
      <c r="AA21" s="36" t="s">
        <v>6</v>
      </c>
      <c r="AB21" s="36" t="s">
        <v>25</v>
      </c>
      <c r="AC21" s="36" t="s">
        <v>12</v>
      </c>
      <c r="AD21" s="36" t="s">
        <v>12</v>
      </c>
      <c r="AE21" s="36" t="s">
        <v>12</v>
      </c>
      <c r="AF21" s="36" t="s">
        <v>12</v>
      </c>
      <c r="AG21" s="36" t="s">
        <v>12</v>
      </c>
      <c r="AH21" s="36" t="s">
        <v>12</v>
      </c>
      <c r="AI21" s="36" t="s">
        <v>25</v>
      </c>
      <c r="AJ21" s="36">
        <f t="shared" si="1"/>
        <v>17</v>
      </c>
      <c r="AK21" s="36">
        <f t="shared" si="2"/>
        <v>0</v>
      </c>
      <c r="AL21" s="36">
        <f t="shared" si="3"/>
        <v>1</v>
      </c>
      <c r="AM21" s="36">
        <f t="shared" si="4"/>
        <v>1</v>
      </c>
      <c r="AN21" s="36">
        <f t="shared" si="5"/>
        <v>1</v>
      </c>
      <c r="AO21" s="36">
        <f t="shared" si="6"/>
        <v>0</v>
      </c>
      <c r="AP21" s="36">
        <f t="shared" si="7"/>
        <v>6</v>
      </c>
      <c r="AQ21" s="36">
        <f t="shared" si="8"/>
        <v>0</v>
      </c>
      <c r="AR21" s="36">
        <v>1.0</v>
      </c>
      <c r="AS21" s="36">
        <f t="shared" si="9"/>
        <v>0</v>
      </c>
      <c r="AT21" s="36">
        <v>2.0</v>
      </c>
      <c r="AU21" s="36">
        <f t="shared" si="10"/>
        <v>0</v>
      </c>
      <c r="AV21" s="36">
        <v>2.0</v>
      </c>
      <c r="AW21" s="37">
        <f t="shared" si="11"/>
        <v>26</v>
      </c>
      <c r="AX21" s="37">
        <f t="shared" si="12"/>
        <v>26</v>
      </c>
      <c r="AY21" s="18"/>
    </row>
    <row r="22" ht="15.75" customHeight="1">
      <c r="A22" s="3"/>
      <c r="B22" s="24" t="s">
        <v>52</v>
      </c>
      <c r="C22" s="31" t="s">
        <v>53</v>
      </c>
      <c r="D22" s="32" t="s">
        <v>24</v>
      </c>
      <c r="E22" s="33" t="s">
        <v>6</v>
      </c>
      <c r="F22" s="33" t="s">
        <v>6</v>
      </c>
      <c r="G22" s="33" t="s">
        <v>25</v>
      </c>
      <c r="H22" s="33" t="s">
        <v>6</v>
      </c>
      <c r="I22" s="33" t="s">
        <v>6</v>
      </c>
      <c r="J22" s="33" t="s">
        <v>6</v>
      </c>
      <c r="K22" s="33" t="s">
        <v>6</v>
      </c>
      <c r="L22" s="33" t="s">
        <v>9</v>
      </c>
      <c r="M22" s="33" t="s">
        <v>10</v>
      </c>
      <c r="N22" s="33" t="s">
        <v>25</v>
      </c>
      <c r="O22" s="33" t="s">
        <v>6</v>
      </c>
      <c r="P22" s="33" t="s">
        <v>6</v>
      </c>
      <c r="Q22" s="33" t="s">
        <v>6</v>
      </c>
      <c r="R22" s="33" t="s">
        <v>6</v>
      </c>
      <c r="S22" s="33" t="s">
        <v>6</v>
      </c>
      <c r="T22" s="33" t="s">
        <v>6</v>
      </c>
      <c r="U22" s="33" t="s">
        <v>25</v>
      </c>
      <c r="V22" s="33" t="s">
        <v>6</v>
      </c>
      <c r="W22" s="33" t="s">
        <v>6</v>
      </c>
      <c r="X22" s="33" t="s">
        <v>6</v>
      </c>
      <c r="Y22" s="33" t="s">
        <v>6</v>
      </c>
      <c r="Z22" s="33" t="s">
        <v>6</v>
      </c>
      <c r="AA22" s="33" t="s">
        <v>6</v>
      </c>
      <c r="AB22" s="33" t="s">
        <v>25</v>
      </c>
      <c r="AC22" s="33" t="s">
        <v>6</v>
      </c>
      <c r="AD22" s="33" t="s">
        <v>6</v>
      </c>
      <c r="AE22" s="33" t="s">
        <v>6</v>
      </c>
      <c r="AF22" s="33" t="s">
        <v>6</v>
      </c>
      <c r="AG22" s="33" t="s">
        <v>6</v>
      </c>
      <c r="AH22" s="33" t="s">
        <v>6</v>
      </c>
      <c r="AI22" s="33" t="s">
        <v>25</v>
      </c>
      <c r="AJ22" s="33">
        <f t="shared" si="1"/>
        <v>24</v>
      </c>
      <c r="AK22" s="33">
        <f t="shared" si="2"/>
        <v>0</v>
      </c>
      <c r="AL22" s="33">
        <f t="shared" si="3"/>
        <v>0</v>
      </c>
      <c r="AM22" s="33">
        <f t="shared" si="4"/>
        <v>1</v>
      </c>
      <c r="AN22" s="33">
        <f t="shared" si="5"/>
        <v>1</v>
      </c>
      <c r="AO22" s="33">
        <f t="shared" si="6"/>
        <v>0</v>
      </c>
      <c r="AP22" s="33">
        <f t="shared" si="7"/>
        <v>0</v>
      </c>
      <c r="AQ22" s="33">
        <f t="shared" si="8"/>
        <v>0</v>
      </c>
      <c r="AR22" s="33">
        <v>1.0</v>
      </c>
      <c r="AS22" s="33">
        <f t="shared" si="9"/>
        <v>0</v>
      </c>
      <c r="AT22" s="33">
        <v>2.0</v>
      </c>
      <c r="AU22" s="33">
        <f t="shared" si="10"/>
        <v>0</v>
      </c>
      <c r="AV22" s="33">
        <v>2.0</v>
      </c>
      <c r="AW22" s="34">
        <f t="shared" si="11"/>
        <v>26</v>
      </c>
      <c r="AX22" s="34">
        <f t="shared" si="12"/>
        <v>26</v>
      </c>
      <c r="AY22" s="24"/>
    </row>
    <row r="23" ht="15.75" customHeight="1">
      <c r="A23" s="3"/>
      <c r="B23" s="18" t="s">
        <v>54</v>
      </c>
      <c r="C23" s="29" t="s">
        <v>55</v>
      </c>
      <c r="D23" s="35" t="s">
        <v>24</v>
      </c>
      <c r="E23" s="36" t="s">
        <v>6</v>
      </c>
      <c r="F23" s="36" t="s">
        <v>6</v>
      </c>
      <c r="G23" s="36" t="s">
        <v>25</v>
      </c>
      <c r="H23" s="36" t="s">
        <v>6</v>
      </c>
      <c r="I23" s="36" t="s">
        <v>6</v>
      </c>
      <c r="J23" s="36" t="s">
        <v>6</v>
      </c>
      <c r="K23" s="36" t="s">
        <v>6</v>
      </c>
      <c r="L23" s="36" t="s">
        <v>9</v>
      </c>
      <c r="M23" s="36" t="s">
        <v>10</v>
      </c>
      <c r="N23" s="36" t="s">
        <v>25</v>
      </c>
      <c r="O23" s="36" t="s">
        <v>6</v>
      </c>
      <c r="P23" s="36" t="s">
        <v>6</v>
      </c>
      <c r="Q23" s="36" t="s">
        <v>6</v>
      </c>
      <c r="R23" s="36" t="s">
        <v>6</v>
      </c>
      <c r="S23" s="36" t="s">
        <v>6</v>
      </c>
      <c r="T23" s="36" t="s">
        <v>6</v>
      </c>
      <c r="U23" s="36" t="s">
        <v>25</v>
      </c>
      <c r="V23" s="36" t="s">
        <v>6</v>
      </c>
      <c r="W23" s="36" t="s">
        <v>6</v>
      </c>
      <c r="X23" s="36" t="s">
        <v>6</v>
      </c>
      <c r="Y23" s="36" t="s">
        <v>6</v>
      </c>
      <c r="Z23" s="36" t="s">
        <v>6</v>
      </c>
      <c r="AA23" s="36" t="s">
        <v>6</v>
      </c>
      <c r="AB23" s="36" t="s">
        <v>25</v>
      </c>
      <c r="AC23" s="36" t="s">
        <v>6</v>
      </c>
      <c r="AD23" s="36" t="s">
        <v>8</v>
      </c>
      <c r="AE23" s="36" t="s">
        <v>6</v>
      </c>
      <c r="AF23" s="36" t="s">
        <v>6</v>
      </c>
      <c r="AG23" s="36" t="s">
        <v>6</v>
      </c>
      <c r="AH23" s="36" t="s">
        <v>6</v>
      </c>
      <c r="AI23" s="36" t="s">
        <v>25</v>
      </c>
      <c r="AJ23" s="36">
        <f t="shared" si="1"/>
        <v>23</v>
      </c>
      <c r="AK23" s="36">
        <f t="shared" si="2"/>
        <v>0</v>
      </c>
      <c r="AL23" s="36">
        <f t="shared" si="3"/>
        <v>1</v>
      </c>
      <c r="AM23" s="36">
        <f t="shared" si="4"/>
        <v>1</v>
      </c>
      <c r="AN23" s="36">
        <f t="shared" si="5"/>
        <v>1</v>
      </c>
      <c r="AO23" s="36">
        <f t="shared" si="6"/>
        <v>0</v>
      </c>
      <c r="AP23" s="36">
        <f t="shared" si="7"/>
        <v>0</v>
      </c>
      <c r="AQ23" s="36">
        <f t="shared" si="8"/>
        <v>0</v>
      </c>
      <c r="AR23" s="36">
        <v>1.0</v>
      </c>
      <c r="AS23" s="36">
        <f t="shared" si="9"/>
        <v>0</v>
      </c>
      <c r="AT23" s="36">
        <v>2.0</v>
      </c>
      <c r="AU23" s="36">
        <f t="shared" si="10"/>
        <v>0</v>
      </c>
      <c r="AV23" s="36">
        <v>2.0</v>
      </c>
      <c r="AW23" s="37">
        <f t="shared" si="11"/>
        <v>26</v>
      </c>
      <c r="AX23" s="37">
        <f t="shared" si="12"/>
        <v>26</v>
      </c>
      <c r="AY23" s="18"/>
    </row>
    <row r="24" ht="15.75" customHeight="1">
      <c r="A24" s="3"/>
      <c r="B24" s="24" t="s">
        <v>56</v>
      </c>
      <c r="C24" s="31" t="s">
        <v>57</v>
      </c>
      <c r="D24" s="32" t="s">
        <v>24</v>
      </c>
      <c r="E24" s="33" t="s">
        <v>6</v>
      </c>
      <c r="F24" s="33" t="s">
        <v>6</v>
      </c>
      <c r="G24" s="33" t="s">
        <v>25</v>
      </c>
      <c r="H24" s="33" t="s">
        <v>6</v>
      </c>
      <c r="I24" s="33" t="s">
        <v>6</v>
      </c>
      <c r="J24" s="33" t="s">
        <v>6</v>
      </c>
      <c r="K24" s="33" t="s">
        <v>6</v>
      </c>
      <c r="L24" s="33" t="s">
        <v>9</v>
      </c>
      <c r="M24" s="33" t="s">
        <v>10</v>
      </c>
      <c r="N24" s="33" t="s">
        <v>25</v>
      </c>
      <c r="O24" s="33" t="s">
        <v>6</v>
      </c>
      <c r="P24" s="33" t="s">
        <v>6</v>
      </c>
      <c r="Q24" s="33" t="s">
        <v>6</v>
      </c>
      <c r="R24" s="33" t="s">
        <v>6</v>
      </c>
      <c r="S24" s="33" t="s">
        <v>6</v>
      </c>
      <c r="T24" s="33" t="s">
        <v>6</v>
      </c>
      <c r="U24" s="33" t="s">
        <v>25</v>
      </c>
      <c r="V24" s="33" t="s">
        <v>6</v>
      </c>
      <c r="W24" s="33" t="s">
        <v>6</v>
      </c>
      <c r="X24" s="33" t="s">
        <v>6</v>
      </c>
      <c r="Y24" s="33" t="s">
        <v>6</v>
      </c>
      <c r="Z24" s="33" t="s">
        <v>6</v>
      </c>
      <c r="AA24" s="33" t="s">
        <v>6</v>
      </c>
      <c r="AB24" s="33" t="s">
        <v>25</v>
      </c>
      <c r="AC24" s="33" t="s">
        <v>6</v>
      </c>
      <c r="AD24" s="33" t="s">
        <v>6</v>
      </c>
      <c r="AE24" s="33" t="s">
        <v>6</v>
      </c>
      <c r="AF24" s="33" t="s">
        <v>6</v>
      </c>
      <c r="AG24" s="33" t="s">
        <v>6</v>
      </c>
      <c r="AH24" s="33" t="s">
        <v>6</v>
      </c>
      <c r="AI24" s="33" t="s">
        <v>25</v>
      </c>
      <c r="AJ24" s="33">
        <f t="shared" si="1"/>
        <v>24</v>
      </c>
      <c r="AK24" s="33">
        <f t="shared" si="2"/>
        <v>0</v>
      </c>
      <c r="AL24" s="33">
        <f t="shared" si="3"/>
        <v>0</v>
      </c>
      <c r="AM24" s="33">
        <f t="shared" si="4"/>
        <v>1</v>
      </c>
      <c r="AN24" s="33">
        <f t="shared" si="5"/>
        <v>1</v>
      </c>
      <c r="AO24" s="33">
        <f t="shared" si="6"/>
        <v>0</v>
      </c>
      <c r="AP24" s="33">
        <f t="shared" si="7"/>
        <v>0</v>
      </c>
      <c r="AQ24" s="33">
        <f t="shared" si="8"/>
        <v>0</v>
      </c>
      <c r="AR24" s="33">
        <v>1.0</v>
      </c>
      <c r="AS24" s="33">
        <f t="shared" si="9"/>
        <v>0</v>
      </c>
      <c r="AT24" s="33">
        <v>2.0</v>
      </c>
      <c r="AU24" s="33">
        <f t="shared" si="10"/>
        <v>0</v>
      </c>
      <c r="AV24" s="33">
        <v>2.0</v>
      </c>
      <c r="AW24" s="34">
        <f t="shared" si="11"/>
        <v>26</v>
      </c>
      <c r="AX24" s="34">
        <f t="shared" si="12"/>
        <v>26</v>
      </c>
      <c r="AY24" s="24"/>
    </row>
    <row r="25" ht="15.75" customHeight="1">
      <c r="A25" s="3"/>
      <c r="B25" s="18" t="s">
        <v>58</v>
      </c>
      <c r="C25" s="29" t="s">
        <v>59</v>
      </c>
      <c r="D25" s="35" t="s">
        <v>24</v>
      </c>
      <c r="E25" s="36" t="s">
        <v>6</v>
      </c>
      <c r="F25" s="36" t="s">
        <v>6</v>
      </c>
      <c r="G25" s="36" t="s">
        <v>25</v>
      </c>
      <c r="H25" s="36" t="s">
        <v>6</v>
      </c>
      <c r="I25" s="36" t="s">
        <v>6</v>
      </c>
      <c r="J25" s="36" t="s">
        <v>6</v>
      </c>
      <c r="K25" s="36" t="s">
        <v>6</v>
      </c>
      <c r="L25" s="36" t="s">
        <v>9</v>
      </c>
      <c r="M25" s="36" t="s">
        <v>10</v>
      </c>
      <c r="N25" s="36" t="s">
        <v>25</v>
      </c>
      <c r="O25" s="36" t="s">
        <v>6</v>
      </c>
      <c r="P25" s="36" t="s">
        <v>6</v>
      </c>
      <c r="Q25" s="36" t="s">
        <v>6</v>
      </c>
      <c r="R25" s="36" t="s">
        <v>6</v>
      </c>
      <c r="S25" s="36" t="s">
        <v>6</v>
      </c>
      <c r="T25" s="36" t="s">
        <v>6</v>
      </c>
      <c r="U25" s="36" t="s">
        <v>25</v>
      </c>
      <c r="V25" s="36" t="s">
        <v>6</v>
      </c>
      <c r="W25" s="36" t="s">
        <v>6</v>
      </c>
      <c r="X25" s="36" t="s">
        <v>6</v>
      </c>
      <c r="Y25" s="36" t="s">
        <v>6</v>
      </c>
      <c r="Z25" s="36" t="s">
        <v>6</v>
      </c>
      <c r="AA25" s="36" t="s">
        <v>6</v>
      </c>
      <c r="AB25" s="36" t="s">
        <v>25</v>
      </c>
      <c r="AC25" s="36" t="s">
        <v>6</v>
      </c>
      <c r="AD25" s="36" t="s">
        <v>6</v>
      </c>
      <c r="AE25" s="36" t="s">
        <v>6</v>
      </c>
      <c r="AF25" s="36" t="s">
        <v>6</v>
      </c>
      <c r="AG25" s="36" t="s">
        <v>6</v>
      </c>
      <c r="AH25" s="36" t="s">
        <v>6</v>
      </c>
      <c r="AI25" s="36" t="s">
        <v>25</v>
      </c>
      <c r="AJ25" s="36">
        <f t="shared" si="1"/>
        <v>24</v>
      </c>
      <c r="AK25" s="36">
        <f t="shared" si="2"/>
        <v>0</v>
      </c>
      <c r="AL25" s="36">
        <f t="shared" si="3"/>
        <v>0</v>
      </c>
      <c r="AM25" s="36">
        <f t="shared" si="4"/>
        <v>1</v>
      </c>
      <c r="AN25" s="36">
        <f t="shared" si="5"/>
        <v>1</v>
      </c>
      <c r="AO25" s="36">
        <f t="shared" si="6"/>
        <v>0</v>
      </c>
      <c r="AP25" s="36">
        <f t="shared" si="7"/>
        <v>0</v>
      </c>
      <c r="AQ25" s="36">
        <f t="shared" si="8"/>
        <v>0</v>
      </c>
      <c r="AR25" s="36">
        <v>1.0</v>
      </c>
      <c r="AS25" s="36">
        <f t="shared" si="9"/>
        <v>0</v>
      </c>
      <c r="AT25" s="36">
        <v>2.0</v>
      </c>
      <c r="AU25" s="36">
        <f t="shared" si="10"/>
        <v>0</v>
      </c>
      <c r="AV25" s="36">
        <v>2.0</v>
      </c>
      <c r="AW25" s="37">
        <f t="shared" si="11"/>
        <v>26</v>
      </c>
      <c r="AX25" s="37">
        <f t="shared" si="12"/>
        <v>26</v>
      </c>
      <c r="AY25" s="18"/>
    </row>
    <row r="26" ht="15.75" customHeight="1">
      <c r="A26" s="3"/>
      <c r="B26" s="24" t="s">
        <v>60</v>
      </c>
      <c r="C26" s="31" t="s">
        <v>61</v>
      </c>
      <c r="D26" s="32" t="s">
        <v>24</v>
      </c>
      <c r="E26" s="33" t="s">
        <v>6</v>
      </c>
      <c r="F26" s="33" t="s">
        <v>6</v>
      </c>
      <c r="G26" s="33" t="s">
        <v>25</v>
      </c>
      <c r="H26" s="33" t="s">
        <v>6</v>
      </c>
      <c r="I26" s="33" t="s">
        <v>6</v>
      </c>
      <c r="J26" s="33" t="s">
        <v>6</v>
      </c>
      <c r="K26" s="33" t="s">
        <v>6</v>
      </c>
      <c r="L26" s="33" t="s">
        <v>9</v>
      </c>
      <c r="M26" s="33" t="s">
        <v>10</v>
      </c>
      <c r="N26" s="33" t="s">
        <v>25</v>
      </c>
      <c r="O26" s="33" t="s">
        <v>6</v>
      </c>
      <c r="P26" s="33" t="s">
        <v>6</v>
      </c>
      <c r="Q26" s="33" t="s">
        <v>6</v>
      </c>
      <c r="R26" s="33" t="s">
        <v>6</v>
      </c>
      <c r="S26" s="33" t="s">
        <v>6</v>
      </c>
      <c r="T26" s="33" t="s">
        <v>6</v>
      </c>
      <c r="U26" s="33" t="s">
        <v>25</v>
      </c>
      <c r="V26" s="33" t="s">
        <v>6</v>
      </c>
      <c r="W26" s="33" t="s">
        <v>6</v>
      </c>
      <c r="X26" s="33" t="s">
        <v>6</v>
      </c>
      <c r="Y26" s="33" t="s">
        <v>6</v>
      </c>
      <c r="Z26" s="33" t="s">
        <v>6</v>
      </c>
      <c r="AA26" s="33" t="s">
        <v>6</v>
      </c>
      <c r="AB26" s="33" t="s">
        <v>25</v>
      </c>
      <c r="AC26" s="33" t="s">
        <v>6</v>
      </c>
      <c r="AD26" s="33" t="s">
        <v>6</v>
      </c>
      <c r="AE26" s="33" t="s">
        <v>6</v>
      </c>
      <c r="AF26" s="33" t="s">
        <v>6</v>
      </c>
      <c r="AG26" s="33" t="s">
        <v>6</v>
      </c>
      <c r="AH26" s="33" t="s">
        <v>6</v>
      </c>
      <c r="AI26" s="33" t="s">
        <v>25</v>
      </c>
      <c r="AJ26" s="33">
        <f t="shared" si="1"/>
        <v>24</v>
      </c>
      <c r="AK26" s="33">
        <f t="shared" si="2"/>
        <v>0</v>
      </c>
      <c r="AL26" s="33">
        <f t="shared" si="3"/>
        <v>0</v>
      </c>
      <c r="AM26" s="33">
        <f t="shared" si="4"/>
        <v>1</v>
      </c>
      <c r="AN26" s="33">
        <f t="shared" si="5"/>
        <v>1</v>
      </c>
      <c r="AO26" s="33">
        <f t="shared" si="6"/>
        <v>0</v>
      </c>
      <c r="AP26" s="33">
        <f t="shared" si="7"/>
        <v>0</v>
      </c>
      <c r="AQ26" s="33">
        <f t="shared" si="8"/>
        <v>0</v>
      </c>
      <c r="AR26" s="33">
        <v>1.0</v>
      </c>
      <c r="AS26" s="33">
        <f t="shared" si="9"/>
        <v>0</v>
      </c>
      <c r="AT26" s="33">
        <v>2.0</v>
      </c>
      <c r="AU26" s="33">
        <f t="shared" si="10"/>
        <v>0</v>
      </c>
      <c r="AV26" s="33">
        <v>2.0</v>
      </c>
      <c r="AW26" s="34">
        <f t="shared" si="11"/>
        <v>26</v>
      </c>
      <c r="AX26" s="34">
        <f t="shared" si="12"/>
        <v>26</v>
      </c>
      <c r="AY26" s="24"/>
    </row>
    <row r="27" ht="15.75" customHeight="1">
      <c r="A27" s="3"/>
      <c r="B27" s="18" t="s">
        <v>62</v>
      </c>
      <c r="C27" s="29" t="s">
        <v>63</v>
      </c>
      <c r="D27" s="35" t="s">
        <v>24</v>
      </c>
      <c r="E27" s="36" t="s">
        <v>6</v>
      </c>
      <c r="F27" s="36" t="s">
        <v>6</v>
      </c>
      <c r="G27" s="36" t="s">
        <v>25</v>
      </c>
      <c r="H27" s="36" t="s">
        <v>6</v>
      </c>
      <c r="I27" s="36" t="s">
        <v>6</v>
      </c>
      <c r="J27" s="36" t="s">
        <v>6</v>
      </c>
      <c r="K27" s="36" t="s">
        <v>6</v>
      </c>
      <c r="L27" s="36" t="s">
        <v>9</v>
      </c>
      <c r="M27" s="36" t="s">
        <v>10</v>
      </c>
      <c r="N27" s="36" t="s">
        <v>25</v>
      </c>
      <c r="O27" s="36" t="s">
        <v>6</v>
      </c>
      <c r="P27" s="36" t="s">
        <v>6</v>
      </c>
      <c r="Q27" s="36" t="s">
        <v>6</v>
      </c>
      <c r="R27" s="36" t="s">
        <v>6</v>
      </c>
      <c r="S27" s="36" t="s">
        <v>6</v>
      </c>
      <c r="T27" s="36" t="s">
        <v>6</v>
      </c>
      <c r="U27" s="36" t="s">
        <v>25</v>
      </c>
      <c r="V27" s="36" t="s">
        <v>6</v>
      </c>
      <c r="W27" s="36" t="s">
        <v>6</v>
      </c>
      <c r="X27" s="36" t="s">
        <v>6</v>
      </c>
      <c r="Y27" s="36" t="s">
        <v>6</v>
      </c>
      <c r="Z27" s="36" t="s">
        <v>6</v>
      </c>
      <c r="AA27" s="36" t="s">
        <v>6</v>
      </c>
      <c r="AB27" s="36" t="s">
        <v>25</v>
      </c>
      <c r="AC27" s="36" t="s">
        <v>6</v>
      </c>
      <c r="AD27" s="36" t="s">
        <v>8</v>
      </c>
      <c r="AE27" s="36" t="s">
        <v>6</v>
      </c>
      <c r="AF27" s="36" t="s">
        <v>6</v>
      </c>
      <c r="AG27" s="36" t="s">
        <v>6</v>
      </c>
      <c r="AH27" s="36" t="s">
        <v>6</v>
      </c>
      <c r="AI27" s="36" t="s">
        <v>25</v>
      </c>
      <c r="AJ27" s="36">
        <f t="shared" si="1"/>
        <v>23</v>
      </c>
      <c r="AK27" s="36">
        <f t="shared" si="2"/>
        <v>0</v>
      </c>
      <c r="AL27" s="36">
        <f t="shared" si="3"/>
        <v>1</v>
      </c>
      <c r="AM27" s="36">
        <f t="shared" si="4"/>
        <v>1</v>
      </c>
      <c r="AN27" s="36">
        <f t="shared" si="5"/>
        <v>1</v>
      </c>
      <c r="AO27" s="36">
        <f t="shared" si="6"/>
        <v>0</v>
      </c>
      <c r="AP27" s="36">
        <f t="shared" si="7"/>
        <v>0</v>
      </c>
      <c r="AQ27" s="36">
        <f t="shared" si="8"/>
        <v>0</v>
      </c>
      <c r="AR27" s="36">
        <v>1.0</v>
      </c>
      <c r="AS27" s="36">
        <f t="shared" si="9"/>
        <v>0</v>
      </c>
      <c r="AT27" s="36">
        <v>2.0</v>
      </c>
      <c r="AU27" s="36">
        <f t="shared" si="10"/>
        <v>0</v>
      </c>
      <c r="AV27" s="36">
        <v>2.0</v>
      </c>
      <c r="AW27" s="37">
        <f t="shared" si="11"/>
        <v>26</v>
      </c>
      <c r="AX27" s="37">
        <f t="shared" si="12"/>
        <v>26</v>
      </c>
      <c r="AY27" s="18"/>
    </row>
    <row r="28" ht="15.75" customHeight="1">
      <c r="A28" s="3"/>
      <c r="B28" s="24" t="s">
        <v>64</v>
      </c>
      <c r="C28" s="31" t="s">
        <v>65</v>
      </c>
      <c r="D28" s="32" t="s">
        <v>24</v>
      </c>
      <c r="E28" s="33" t="s">
        <v>6</v>
      </c>
      <c r="F28" s="33" t="s">
        <v>6</v>
      </c>
      <c r="G28" s="33" t="s">
        <v>25</v>
      </c>
      <c r="H28" s="33" t="s">
        <v>6</v>
      </c>
      <c r="I28" s="33" t="s">
        <v>6</v>
      </c>
      <c r="J28" s="33" t="s">
        <v>6</v>
      </c>
      <c r="K28" s="33" t="s">
        <v>6</v>
      </c>
      <c r="L28" s="33" t="s">
        <v>9</v>
      </c>
      <c r="M28" s="33" t="s">
        <v>10</v>
      </c>
      <c r="N28" s="33" t="s">
        <v>25</v>
      </c>
      <c r="O28" s="33" t="s">
        <v>6</v>
      </c>
      <c r="P28" s="33" t="s">
        <v>6</v>
      </c>
      <c r="Q28" s="33" t="s">
        <v>6</v>
      </c>
      <c r="R28" s="33" t="s">
        <v>6</v>
      </c>
      <c r="S28" s="33" t="s">
        <v>6</v>
      </c>
      <c r="T28" s="33" t="s">
        <v>6</v>
      </c>
      <c r="U28" s="33" t="s">
        <v>25</v>
      </c>
      <c r="V28" s="33" t="s">
        <v>6</v>
      </c>
      <c r="W28" s="33" t="s">
        <v>6</v>
      </c>
      <c r="X28" s="33" t="s">
        <v>6</v>
      </c>
      <c r="Y28" s="33" t="s">
        <v>6</v>
      </c>
      <c r="Z28" s="33" t="s">
        <v>6</v>
      </c>
      <c r="AA28" s="33" t="s">
        <v>6</v>
      </c>
      <c r="AB28" s="33" t="s">
        <v>25</v>
      </c>
      <c r="AC28" s="33" t="s">
        <v>6</v>
      </c>
      <c r="AD28" s="33" t="s">
        <v>6</v>
      </c>
      <c r="AE28" s="33" t="s">
        <v>6</v>
      </c>
      <c r="AF28" s="33" t="s">
        <v>6</v>
      </c>
      <c r="AG28" s="33" t="s">
        <v>6</v>
      </c>
      <c r="AH28" s="33" t="s">
        <v>6</v>
      </c>
      <c r="AI28" s="33" t="s">
        <v>25</v>
      </c>
      <c r="AJ28" s="33">
        <f t="shared" si="1"/>
        <v>24</v>
      </c>
      <c r="AK28" s="33">
        <f t="shared" si="2"/>
        <v>0</v>
      </c>
      <c r="AL28" s="33">
        <f t="shared" si="3"/>
        <v>0</v>
      </c>
      <c r="AM28" s="33">
        <f t="shared" si="4"/>
        <v>1</v>
      </c>
      <c r="AN28" s="33">
        <f t="shared" si="5"/>
        <v>1</v>
      </c>
      <c r="AO28" s="33">
        <f t="shared" si="6"/>
        <v>0</v>
      </c>
      <c r="AP28" s="33">
        <f t="shared" si="7"/>
        <v>0</v>
      </c>
      <c r="AQ28" s="33">
        <f t="shared" si="8"/>
        <v>0</v>
      </c>
      <c r="AR28" s="33">
        <v>1.0</v>
      </c>
      <c r="AS28" s="33">
        <f t="shared" si="9"/>
        <v>0</v>
      </c>
      <c r="AT28" s="33">
        <v>2.0</v>
      </c>
      <c r="AU28" s="33">
        <f t="shared" si="10"/>
        <v>0</v>
      </c>
      <c r="AV28" s="33">
        <v>2.0</v>
      </c>
      <c r="AW28" s="34">
        <f t="shared" si="11"/>
        <v>26</v>
      </c>
      <c r="AX28" s="34">
        <f t="shared" si="12"/>
        <v>26</v>
      </c>
      <c r="AY28" s="24"/>
    </row>
    <row r="29" ht="15.75" customHeight="1">
      <c r="A29" s="3"/>
      <c r="B29" s="18" t="s">
        <v>66</v>
      </c>
      <c r="C29" s="29" t="s">
        <v>67</v>
      </c>
      <c r="D29" s="35" t="s">
        <v>24</v>
      </c>
      <c r="E29" s="36" t="s">
        <v>6</v>
      </c>
      <c r="F29" s="36" t="s">
        <v>6</v>
      </c>
      <c r="G29" s="36" t="s">
        <v>25</v>
      </c>
      <c r="H29" s="36" t="s">
        <v>6</v>
      </c>
      <c r="I29" s="36" t="s">
        <v>6</v>
      </c>
      <c r="J29" s="36" t="s">
        <v>6</v>
      </c>
      <c r="K29" s="36" t="s">
        <v>6</v>
      </c>
      <c r="L29" s="36" t="s">
        <v>9</v>
      </c>
      <c r="M29" s="36" t="s">
        <v>10</v>
      </c>
      <c r="N29" s="36" t="s">
        <v>25</v>
      </c>
      <c r="O29" s="36" t="s">
        <v>6</v>
      </c>
      <c r="P29" s="36" t="s">
        <v>6</v>
      </c>
      <c r="Q29" s="36" t="s">
        <v>6</v>
      </c>
      <c r="R29" s="36" t="s">
        <v>6</v>
      </c>
      <c r="S29" s="36" t="s">
        <v>6</v>
      </c>
      <c r="T29" s="36" t="s">
        <v>6</v>
      </c>
      <c r="U29" s="36" t="s">
        <v>25</v>
      </c>
      <c r="V29" s="36" t="s">
        <v>6</v>
      </c>
      <c r="W29" s="36" t="s">
        <v>6</v>
      </c>
      <c r="X29" s="36" t="s">
        <v>6</v>
      </c>
      <c r="Y29" s="36" t="s">
        <v>6</v>
      </c>
      <c r="Z29" s="36" t="s">
        <v>6</v>
      </c>
      <c r="AA29" s="36" t="s">
        <v>6</v>
      </c>
      <c r="AB29" s="36" t="s">
        <v>25</v>
      </c>
      <c r="AC29" s="36" t="s">
        <v>6</v>
      </c>
      <c r="AD29" s="36" t="s">
        <v>6</v>
      </c>
      <c r="AE29" s="36" t="s">
        <v>6</v>
      </c>
      <c r="AF29" s="36" t="s">
        <v>6</v>
      </c>
      <c r="AG29" s="36" t="s">
        <v>6</v>
      </c>
      <c r="AH29" s="36" t="s">
        <v>6</v>
      </c>
      <c r="AI29" s="36" t="s">
        <v>25</v>
      </c>
      <c r="AJ29" s="36">
        <f t="shared" si="1"/>
        <v>24</v>
      </c>
      <c r="AK29" s="36">
        <f t="shared" si="2"/>
        <v>0</v>
      </c>
      <c r="AL29" s="36">
        <f t="shared" si="3"/>
        <v>0</v>
      </c>
      <c r="AM29" s="36">
        <f t="shared" si="4"/>
        <v>1</v>
      </c>
      <c r="AN29" s="36">
        <f t="shared" si="5"/>
        <v>1</v>
      </c>
      <c r="AO29" s="36">
        <f t="shared" si="6"/>
        <v>0</v>
      </c>
      <c r="AP29" s="36">
        <f t="shared" si="7"/>
        <v>0</v>
      </c>
      <c r="AQ29" s="36">
        <f t="shared" si="8"/>
        <v>0</v>
      </c>
      <c r="AR29" s="36">
        <v>1.0</v>
      </c>
      <c r="AS29" s="36">
        <f t="shared" si="9"/>
        <v>0</v>
      </c>
      <c r="AT29" s="36">
        <v>2.0</v>
      </c>
      <c r="AU29" s="36">
        <f t="shared" si="10"/>
        <v>0</v>
      </c>
      <c r="AV29" s="36">
        <v>2.0</v>
      </c>
      <c r="AW29" s="37">
        <f t="shared" si="11"/>
        <v>26</v>
      </c>
      <c r="AX29" s="37">
        <f t="shared" si="12"/>
        <v>26</v>
      </c>
      <c r="AY29" s="18"/>
    </row>
    <row r="30" ht="15.75" customHeight="1">
      <c r="A30" s="3"/>
      <c r="B30" s="24" t="s">
        <v>68</v>
      </c>
      <c r="C30" s="31" t="s">
        <v>69</v>
      </c>
      <c r="D30" s="32" t="s">
        <v>24</v>
      </c>
      <c r="E30" s="33" t="s">
        <v>6</v>
      </c>
      <c r="F30" s="33" t="s">
        <v>6</v>
      </c>
      <c r="G30" s="33" t="s">
        <v>25</v>
      </c>
      <c r="H30" s="33" t="s">
        <v>6</v>
      </c>
      <c r="I30" s="33" t="s">
        <v>6</v>
      </c>
      <c r="J30" s="33" t="s">
        <v>6</v>
      </c>
      <c r="K30" s="33" t="s">
        <v>6</v>
      </c>
      <c r="L30" s="33" t="s">
        <v>9</v>
      </c>
      <c r="M30" s="33" t="s">
        <v>10</v>
      </c>
      <c r="N30" s="33" t="s">
        <v>25</v>
      </c>
      <c r="O30" s="33" t="s">
        <v>6</v>
      </c>
      <c r="P30" s="33" t="s">
        <v>6</v>
      </c>
      <c r="Q30" s="33" t="s">
        <v>6</v>
      </c>
      <c r="R30" s="33" t="s">
        <v>6</v>
      </c>
      <c r="S30" s="33" t="s">
        <v>6</v>
      </c>
      <c r="T30" s="33" t="s">
        <v>6</v>
      </c>
      <c r="U30" s="33" t="s">
        <v>25</v>
      </c>
      <c r="V30" s="33" t="s">
        <v>6</v>
      </c>
      <c r="W30" s="33" t="s">
        <v>6</v>
      </c>
      <c r="X30" s="33" t="s">
        <v>6</v>
      </c>
      <c r="Y30" s="33" t="s">
        <v>6</v>
      </c>
      <c r="Z30" s="33" t="s">
        <v>6</v>
      </c>
      <c r="AA30" s="33" t="s">
        <v>6</v>
      </c>
      <c r="AB30" s="33" t="s">
        <v>25</v>
      </c>
      <c r="AC30" s="33" t="s">
        <v>6</v>
      </c>
      <c r="AD30" s="33" t="s">
        <v>6</v>
      </c>
      <c r="AE30" s="33" t="s">
        <v>6</v>
      </c>
      <c r="AF30" s="33" t="s">
        <v>6</v>
      </c>
      <c r="AG30" s="33" t="s">
        <v>6</v>
      </c>
      <c r="AH30" s="33" t="s">
        <v>6</v>
      </c>
      <c r="AI30" s="33" t="s">
        <v>25</v>
      </c>
      <c r="AJ30" s="33">
        <f t="shared" si="1"/>
        <v>24</v>
      </c>
      <c r="AK30" s="33">
        <f t="shared" si="2"/>
        <v>0</v>
      </c>
      <c r="AL30" s="33">
        <f t="shared" si="3"/>
        <v>0</v>
      </c>
      <c r="AM30" s="33">
        <f t="shared" si="4"/>
        <v>1</v>
      </c>
      <c r="AN30" s="33">
        <f t="shared" si="5"/>
        <v>1</v>
      </c>
      <c r="AO30" s="33">
        <f t="shared" si="6"/>
        <v>0</v>
      </c>
      <c r="AP30" s="33">
        <f t="shared" si="7"/>
        <v>0</v>
      </c>
      <c r="AQ30" s="33">
        <f t="shared" si="8"/>
        <v>0</v>
      </c>
      <c r="AR30" s="33">
        <v>1.0</v>
      </c>
      <c r="AS30" s="33">
        <f t="shared" si="9"/>
        <v>0</v>
      </c>
      <c r="AT30" s="33">
        <v>2.0</v>
      </c>
      <c r="AU30" s="33">
        <f t="shared" si="10"/>
        <v>0</v>
      </c>
      <c r="AV30" s="33">
        <v>2.0</v>
      </c>
      <c r="AW30" s="34">
        <f t="shared" si="11"/>
        <v>26</v>
      </c>
      <c r="AX30" s="34">
        <f t="shared" si="12"/>
        <v>26</v>
      </c>
      <c r="AY30" s="24"/>
    </row>
    <row r="31" ht="15.75" customHeight="1">
      <c r="A31" s="3"/>
      <c r="B31" s="18" t="s">
        <v>70</v>
      </c>
      <c r="C31" s="29" t="s">
        <v>71</v>
      </c>
      <c r="D31" s="35" t="s">
        <v>24</v>
      </c>
      <c r="E31" s="36" t="s">
        <v>6</v>
      </c>
      <c r="F31" s="36" t="s">
        <v>6</v>
      </c>
      <c r="G31" s="36" t="s">
        <v>25</v>
      </c>
      <c r="H31" s="36" t="s">
        <v>6</v>
      </c>
      <c r="I31" s="36" t="s">
        <v>6</v>
      </c>
      <c r="J31" s="36" t="s">
        <v>6</v>
      </c>
      <c r="K31" s="36" t="s">
        <v>6</v>
      </c>
      <c r="L31" s="36" t="s">
        <v>9</v>
      </c>
      <c r="M31" s="36" t="s">
        <v>10</v>
      </c>
      <c r="N31" s="36" t="s">
        <v>25</v>
      </c>
      <c r="O31" s="36" t="s">
        <v>6</v>
      </c>
      <c r="P31" s="36" t="s">
        <v>6</v>
      </c>
      <c r="Q31" s="36" t="s">
        <v>6</v>
      </c>
      <c r="R31" s="36" t="s">
        <v>6</v>
      </c>
      <c r="S31" s="36" t="s">
        <v>6</v>
      </c>
      <c r="T31" s="36" t="s">
        <v>6</v>
      </c>
      <c r="U31" s="36" t="s">
        <v>25</v>
      </c>
      <c r="V31" s="36" t="s">
        <v>6</v>
      </c>
      <c r="W31" s="36" t="s">
        <v>6</v>
      </c>
      <c r="X31" s="36" t="s">
        <v>6</v>
      </c>
      <c r="Y31" s="36" t="s">
        <v>6</v>
      </c>
      <c r="Z31" s="36" t="s">
        <v>6</v>
      </c>
      <c r="AA31" s="36" t="s">
        <v>6</v>
      </c>
      <c r="AB31" s="36" t="s">
        <v>25</v>
      </c>
      <c r="AC31" s="36" t="s">
        <v>6</v>
      </c>
      <c r="AD31" s="36" t="s">
        <v>6</v>
      </c>
      <c r="AE31" s="36" t="s">
        <v>6</v>
      </c>
      <c r="AF31" s="36" t="s">
        <v>6</v>
      </c>
      <c r="AG31" s="36" t="s">
        <v>6</v>
      </c>
      <c r="AH31" s="36" t="s">
        <v>6</v>
      </c>
      <c r="AI31" s="36" t="s">
        <v>25</v>
      </c>
      <c r="AJ31" s="36">
        <f t="shared" si="1"/>
        <v>24</v>
      </c>
      <c r="AK31" s="36">
        <f t="shared" si="2"/>
        <v>0</v>
      </c>
      <c r="AL31" s="36">
        <f t="shared" si="3"/>
        <v>0</v>
      </c>
      <c r="AM31" s="36">
        <f t="shared" si="4"/>
        <v>1</v>
      </c>
      <c r="AN31" s="36">
        <f t="shared" si="5"/>
        <v>1</v>
      </c>
      <c r="AO31" s="36">
        <f t="shared" si="6"/>
        <v>0</v>
      </c>
      <c r="AP31" s="36">
        <f t="shared" si="7"/>
        <v>0</v>
      </c>
      <c r="AQ31" s="36">
        <f t="shared" si="8"/>
        <v>0</v>
      </c>
      <c r="AR31" s="36">
        <v>1.0</v>
      </c>
      <c r="AS31" s="36">
        <f t="shared" si="9"/>
        <v>0</v>
      </c>
      <c r="AT31" s="36">
        <v>2.0</v>
      </c>
      <c r="AU31" s="36">
        <f t="shared" si="10"/>
        <v>0</v>
      </c>
      <c r="AV31" s="36">
        <v>2.0</v>
      </c>
      <c r="AW31" s="37">
        <f t="shared" si="11"/>
        <v>26</v>
      </c>
      <c r="AX31" s="37">
        <f t="shared" si="12"/>
        <v>26</v>
      </c>
      <c r="AY31" s="18"/>
    </row>
    <row r="32" ht="15.75" customHeight="1">
      <c r="A32" s="3"/>
      <c r="B32" s="24" t="s">
        <v>72</v>
      </c>
      <c r="C32" s="31" t="s">
        <v>73</v>
      </c>
      <c r="D32" s="32" t="s">
        <v>24</v>
      </c>
      <c r="E32" s="33" t="s">
        <v>6</v>
      </c>
      <c r="F32" s="33" t="s">
        <v>6</v>
      </c>
      <c r="G32" s="33" t="s">
        <v>25</v>
      </c>
      <c r="H32" s="33" t="s">
        <v>6</v>
      </c>
      <c r="I32" s="33" t="s">
        <v>6</v>
      </c>
      <c r="J32" s="33" t="s">
        <v>6</v>
      </c>
      <c r="K32" s="33" t="s">
        <v>6</v>
      </c>
      <c r="L32" s="33" t="s">
        <v>9</v>
      </c>
      <c r="M32" s="33" t="s">
        <v>10</v>
      </c>
      <c r="N32" s="33" t="s">
        <v>25</v>
      </c>
      <c r="O32" s="33" t="s">
        <v>6</v>
      </c>
      <c r="P32" s="33" t="s">
        <v>6</v>
      </c>
      <c r="Q32" s="33" t="s">
        <v>6</v>
      </c>
      <c r="R32" s="33" t="s">
        <v>6</v>
      </c>
      <c r="S32" s="33" t="s">
        <v>6</v>
      </c>
      <c r="T32" s="33" t="s">
        <v>6</v>
      </c>
      <c r="U32" s="33" t="s">
        <v>25</v>
      </c>
      <c r="V32" s="33" t="s">
        <v>6</v>
      </c>
      <c r="W32" s="33" t="s">
        <v>6</v>
      </c>
      <c r="X32" s="33" t="s">
        <v>6</v>
      </c>
      <c r="Y32" s="33" t="s">
        <v>6</v>
      </c>
      <c r="Z32" s="33" t="s">
        <v>6</v>
      </c>
      <c r="AA32" s="33" t="s">
        <v>6</v>
      </c>
      <c r="AB32" s="33" t="s">
        <v>25</v>
      </c>
      <c r="AC32" s="33" t="s">
        <v>6</v>
      </c>
      <c r="AD32" s="33" t="s">
        <v>8</v>
      </c>
      <c r="AE32" s="33" t="s">
        <v>6</v>
      </c>
      <c r="AF32" s="33" t="s">
        <v>6</v>
      </c>
      <c r="AG32" s="33" t="s">
        <v>6</v>
      </c>
      <c r="AH32" s="33" t="s">
        <v>6</v>
      </c>
      <c r="AI32" s="33" t="s">
        <v>25</v>
      </c>
      <c r="AJ32" s="33">
        <f t="shared" si="1"/>
        <v>23</v>
      </c>
      <c r="AK32" s="33">
        <f t="shared" si="2"/>
        <v>0</v>
      </c>
      <c r="AL32" s="33">
        <f t="shared" si="3"/>
        <v>1</v>
      </c>
      <c r="AM32" s="33">
        <f t="shared" si="4"/>
        <v>1</v>
      </c>
      <c r="AN32" s="33">
        <f t="shared" si="5"/>
        <v>1</v>
      </c>
      <c r="AO32" s="33">
        <f t="shared" si="6"/>
        <v>0</v>
      </c>
      <c r="AP32" s="33">
        <f t="shared" si="7"/>
        <v>0</v>
      </c>
      <c r="AQ32" s="33">
        <f t="shared" si="8"/>
        <v>0</v>
      </c>
      <c r="AR32" s="33">
        <v>1.0</v>
      </c>
      <c r="AS32" s="33">
        <f t="shared" si="9"/>
        <v>0</v>
      </c>
      <c r="AT32" s="33">
        <v>2.0</v>
      </c>
      <c r="AU32" s="33">
        <f t="shared" si="10"/>
        <v>0</v>
      </c>
      <c r="AV32" s="33">
        <v>2.0</v>
      </c>
      <c r="AW32" s="34">
        <f t="shared" si="11"/>
        <v>26</v>
      </c>
      <c r="AX32" s="34">
        <f t="shared" si="12"/>
        <v>26</v>
      </c>
      <c r="AY32" s="24"/>
    </row>
    <row r="33" ht="15.75" customHeight="1">
      <c r="A33" s="3"/>
      <c r="B33" s="18" t="s">
        <v>74</v>
      </c>
      <c r="C33" s="29" t="s">
        <v>75</v>
      </c>
      <c r="D33" s="35" t="s">
        <v>24</v>
      </c>
      <c r="E33" s="36" t="s">
        <v>6</v>
      </c>
      <c r="F33" s="36" t="s">
        <v>6</v>
      </c>
      <c r="G33" s="36" t="s">
        <v>25</v>
      </c>
      <c r="H33" s="36" t="s">
        <v>6</v>
      </c>
      <c r="I33" s="36" t="s">
        <v>6</v>
      </c>
      <c r="J33" s="36" t="s">
        <v>6</v>
      </c>
      <c r="K33" s="36" t="s">
        <v>6</v>
      </c>
      <c r="L33" s="36" t="s">
        <v>9</v>
      </c>
      <c r="M33" s="36" t="s">
        <v>10</v>
      </c>
      <c r="N33" s="36" t="s">
        <v>25</v>
      </c>
      <c r="O33" s="36" t="s">
        <v>6</v>
      </c>
      <c r="P33" s="36" t="s">
        <v>6</v>
      </c>
      <c r="Q33" s="36" t="s">
        <v>6</v>
      </c>
      <c r="R33" s="36" t="s">
        <v>6</v>
      </c>
      <c r="S33" s="36" t="s">
        <v>6</v>
      </c>
      <c r="T33" s="36" t="s">
        <v>6</v>
      </c>
      <c r="U33" s="36" t="s">
        <v>25</v>
      </c>
      <c r="V33" s="36" t="s">
        <v>6</v>
      </c>
      <c r="W33" s="36" t="s">
        <v>6</v>
      </c>
      <c r="X33" s="36" t="s">
        <v>6</v>
      </c>
      <c r="Y33" s="36" t="s">
        <v>6</v>
      </c>
      <c r="Z33" s="36" t="s">
        <v>6</v>
      </c>
      <c r="AA33" s="36" t="s">
        <v>6</v>
      </c>
      <c r="AB33" s="36" t="s">
        <v>25</v>
      </c>
      <c r="AC33" s="36" t="s">
        <v>6</v>
      </c>
      <c r="AD33" s="36" t="s">
        <v>6</v>
      </c>
      <c r="AE33" s="36" t="s">
        <v>6</v>
      </c>
      <c r="AF33" s="36" t="s">
        <v>6</v>
      </c>
      <c r="AG33" s="36" t="s">
        <v>6</v>
      </c>
      <c r="AH33" s="36" t="s">
        <v>6</v>
      </c>
      <c r="AI33" s="36" t="s">
        <v>25</v>
      </c>
      <c r="AJ33" s="36">
        <f t="shared" si="1"/>
        <v>24</v>
      </c>
      <c r="AK33" s="36">
        <f t="shared" si="2"/>
        <v>0</v>
      </c>
      <c r="AL33" s="36">
        <f t="shared" si="3"/>
        <v>0</v>
      </c>
      <c r="AM33" s="36">
        <f t="shared" si="4"/>
        <v>1</v>
      </c>
      <c r="AN33" s="36">
        <f t="shared" si="5"/>
        <v>1</v>
      </c>
      <c r="AO33" s="36">
        <f t="shared" si="6"/>
        <v>0</v>
      </c>
      <c r="AP33" s="36">
        <f t="shared" si="7"/>
        <v>0</v>
      </c>
      <c r="AQ33" s="36">
        <f t="shared" si="8"/>
        <v>0</v>
      </c>
      <c r="AR33" s="36">
        <v>1.0</v>
      </c>
      <c r="AS33" s="36">
        <f t="shared" si="9"/>
        <v>0</v>
      </c>
      <c r="AT33" s="36">
        <v>2.0</v>
      </c>
      <c r="AU33" s="36">
        <f t="shared" si="10"/>
        <v>0</v>
      </c>
      <c r="AV33" s="36">
        <v>2.0</v>
      </c>
      <c r="AW33" s="37">
        <f t="shared" si="11"/>
        <v>26</v>
      </c>
      <c r="AX33" s="37">
        <f t="shared" si="12"/>
        <v>26</v>
      </c>
      <c r="AY33" s="18"/>
    </row>
    <row r="34" ht="15.75" customHeight="1">
      <c r="A34" s="3"/>
      <c r="B34" s="24" t="s">
        <v>76</v>
      </c>
      <c r="C34" s="31" t="s">
        <v>77</v>
      </c>
      <c r="D34" s="32" t="s">
        <v>24</v>
      </c>
      <c r="E34" s="33" t="s">
        <v>6</v>
      </c>
      <c r="F34" s="33" t="s">
        <v>6</v>
      </c>
      <c r="G34" s="33" t="s">
        <v>25</v>
      </c>
      <c r="H34" s="33" t="s">
        <v>6</v>
      </c>
      <c r="I34" s="33" t="s">
        <v>6</v>
      </c>
      <c r="J34" s="33" t="s">
        <v>6</v>
      </c>
      <c r="K34" s="33" t="s">
        <v>6</v>
      </c>
      <c r="L34" s="33" t="s">
        <v>9</v>
      </c>
      <c r="M34" s="33" t="s">
        <v>10</v>
      </c>
      <c r="N34" s="33" t="s">
        <v>25</v>
      </c>
      <c r="O34" s="33" t="s">
        <v>6</v>
      </c>
      <c r="P34" s="33" t="s">
        <v>6</v>
      </c>
      <c r="Q34" s="33" t="s">
        <v>6</v>
      </c>
      <c r="R34" s="33" t="s">
        <v>6</v>
      </c>
      <c r="S34" s="33" t="s">
        <v>6</v>
      </c>
      <c r="T34" s="33" t="s">
        <v>6</v>
      </c>
      <c r="U34" s="33" t="s">
        <v>25</v>
      </c>
      <c r="V34" s="33" t="s">
        <v>6</v>
      </c>
      <c r="W34" s="33" t="s">
        <v>6</v>
      </c>
      <c r="X34" s="33" t="s">
        <v>6</v>
      </c>
      <c r="Y34" s="33" t="s">
        <v>6</v>
      </c>
      <c r="Z34" s="33" t="s">
        <v>6</v>
      </c>
      <c r="AA34" s="33" t="s">
        <v>6</v>
      </c>
      <c r="AB34" s="33" t="s">
        <v>25</v>
      </c>
      <c r="AC34" s="33" t="s">
        <v>6</v>
      </c>
      <c r="AD34" s="33" t="s">
        <v>6</v>
      </c>
      <c r="AE34" s="33" t="s">
        <v>6</v>
      </c>
      <c r="AF34" s="33" t="s">
        <v>6</v>
      </c>
      <c r="AG34" s="33" t="s">
        <v>6</v>
      </c>
      <c r="AH34" s="33" t="s">
        <v>6</v>
      </c>
      <c r="AI34" s="33" t="s">
        <v>25</v>
      </c>
      <c r="AJ34" s="33">
        <f t="shared" si="1"/>
        <v>24</v>
      </c>
      <c r="AK34" s="33">
        <f t="shared" si="2"/>
        <v>0</v>
      </c>
      <c r="AL34" s="33">
        <f t="shared" si="3"/>
        <v>0</v>
      </c>
      <c r="AM34" s="33">
        <f t="shared" si="4"/>
        <v>1</v>
      </c>
      <c r="AN34" s="33">
        <f t="shared" si="5"/>
        <v>1</v>
      </c>
      <c r="AO34" s="33">
        <f t="shared" si="6"/>
        <v>0</v>
      </c>
      <c r="AP34" s="33">
        <f t="shared" si="7"/>
        <v>0</v>
      </c>
      <c r="AQ34" s="33">
        <f t="shared" si="8"/>
        <v>0</v>
      </c>
      <c r="AR34" s="33">
        <v>1.0</v>
      </c>
      <c r="AS34" s="33">
        <f t="shared" si="9"/>
        <v>0</v>
      </c>
      <c r="AT34" s="33">
        <v>2.0</v>
      </c>
      <c r="AU34" s="33">
        <f t="shared" si="10"/>
        <v>0</v>
      </c>
      <c r="AV34" s="33">
        <v>2.0</v>
      </c>
      <c r="AW34" s="34">
        <f t="shared" si="11"/>
        <v>26</v>
      </c>
      <c r="AX34" s="34">
        <f t="shared" si="12"/>
        <v>26</v>
      </c>
      <c r="AY34" s="24"/>
    </row>
    <row r="35" ht="15.75" customHeight="1">
      <c r="A35" s="3"/>
      <c r="B35" s="18" t="s">
        <v>78</v>
      </c>
      <c r="C35" s="29" t="s">
        <v>79</v>
      </c>
      <c r="D35" s="35" t="s">
        <v>24</v>
      </c>
      <c r="E35" s="36" t="s">
        <v>6</v>
      </c>
      <c r="F35" s="36" t="s">
        <v>6</v>
      </c>
      <c r="G35" s="36" t="s">
        <v>25</v>
      </c>
      <c r="H35" s="36" t="s">
        <v>6</v>
      </c>
      <c r="I35" s="36" t="s">
        <v>6</v>
      </c>
      <c r="J35" s="36" t="s">
        <v>6</v>
      </c>
      <c r="K35" s="36" t="s">
        <v>6</v>
      </c>
      <c r="L35" s="36" t="s">
        <v>9</v>
      </c>
      <c r="M35" s="36" t="s">
        <v>10</v>
      </c>
      <c r="N35" s="36" t="s">
        <v>25</v>
      </c>
      <c r="O35" s="36" t="s">
        <v>6</v>
      </c>
      <c r="P35" s="36" t="s">
        <v>6</v>
      </c>
      <c r="Q35" s="36" t="s">
        <v>6</v>
      </c>
      <c r="R35" s="36" t="s">
        <v>6</v>
      </c>
      <c r="S35" s="36" t="s">
        <v>6</v>
      </c>
      <c r="T35" s="36" t="s">
        <v>6</v>
      </c>
      <c r="U35" s="36" t="s">
        <v>25</v>
      </c>
      <c r="V35" s="36" t="s">
        <v>6</v>
      </c>
      <c r="W35" s="36" t="s">
        <v>6</v>
      </c>
      <c r="X35" s="36" t="s">
        <v>6</v>
      </c>
      <c r="Y35" s="36" t="s">
        <v>6</v>
      </c>
      <c r="Z35" s="36" t="s">
        <v>6</v>
      </c>
      <c r="AA35" s="36" t="s">
        <v>6</v>
      </c>
      <c r="AB35" s="36" t="s">
        <v>25</v>
      </c>
      <c r="AC35" s="36" t="s">
        <v>6</v>
      </c>
      <c r="AD35" s="36" t="s">
        <v>8</v>
      </c>
      <c r="AE35" s="36" t="s">
        <v>6</v>
      </c>
      <c r="AF35" s="36" t="s">
        <v>6</v>
      </c>
      <c r="AG35" s="36" t="s">
        <v>6</v>
      </c>
      <c r="AH35" s="36" t="s">
        <v>6</v>
      </c>
      <c r="AI35" s="36" t="s">
        <v>25</v>
      </c>
      <c r="AJ35" s="36">
        <f t="shared" si="1"/>
        <v>23</v>
      </c>
      <c r="AK35" s="36">
        <f t="shared" si="2"/>
        <v>0</v>
      </c>
      <c r="AL35" s="36">
        <f t="shared" si="3"/>
        <v>1</v>
      </c>
      <c r="AM35" s="36">
        <f t="shared" si="4"/>
        <v>1</v>
      </c>
      <c r="AN35" s="36">
        <f t="shared" si="5"/>
        <v>1</v>
      </c>
      <c r="AO35" s="36">
        <f t="shared" si="6"/>
        <v>0</v>
      </c>
      <c r="AP35" s="36">
        <f t="shared" si="7"/>
        <v>0</v>
      </c>
      <c r="AQ35" s="36">
        <f t="shared" si="8"/>
        <v>0</v>
      </c>
      <c r="AR35" s="36">
        <v>1.0</v>
      </c>
      <c r="AS35" s="36">
        <f t="shared" si="9"/>
        <v>0</v>
      </c>
      <c r="AT35" s="36">
        <v>2.0</v>
      </c>
      <c r="AU35" s="36">
        <f t="shared" si="10"/>
        <v>0</v>
      </c>
      <c r="AV35" s="36">
        <v>2.0</v>
      </c>
      <c r="AW35" s="37">
        <f t="shared" si="11"/>
        <v>26</v>
      </c>
      <c r="AX35" s="37">
        <f t="shared" si="12"/>
        <v>26</v>
      </c>
      <c r="AY35" s="18"/>
    </row>
    <row r="36" ht="15.75" customHeight="1">
      <c r="A36" s="3"/>
      <c r="B36" s="24" t="s">
        <v>80</v>
      </c>
      <c r="C36" s="31" t="s">
        <v>81</v>
      </c>
      <c r="D36" s="32" t="s">
        <v>24</v>
      </c>
      <c r="E36" s="33" t="s">
        <v>6</v>
      </c>
      <c r="F36" s="33" t="s">
        <v>6</v>
      </c>
      <c r="G36" s="33" t="s">
        <v>25</v>
      </c>
      <c r="H36" s="33" t="s">
        <v>6</v>
      </c>
      <c r="I36" s="33" t="s">
        <v>6</v>
      </c>
      <c r="J36" s="33" t="s">
        <v>6</v>
      </c>
      <c r="K36" s="33" t="s">
        <v>6</v>
      </c>
      <c r="L36" s="33" t="s">
        <v>9</v>
      </c>
      <c r="M36" s="33" t="s">
        <v>10</v>
      </c>
      <c r="N36" s="33" t="s">
        <v>25</v>
      </c>
      <c r="O36" s="33" t="s">
        <v>6</v>
      </c>
      <c r="P36" s="33" t="s">
        <v>6</v>
      </c>
      <c r="Q36" s="33" t="s">
        <v>6</v>
      </c>
      <c r="R36" s="33" t="s">
        <v>6</v>
      </c>
      <c r="S36" s="33" t="s">
        <v>6</v>
      </c>
      <c r="T36" s="33" t="s">
        <v>6</v>
      </c>
      <c r="U36" s="33" t="s">
        <v>25</v>
      </c>
      <c r="V36" s="33" t="s">
        <v>6</v>
      </c>
      <c r="W36" s="33" t="s">
        <v>6</v>
      </c>
      <c r="X36" s="33" t="s">
        <v>6</v>
      </c>
      <c r="Y36" s="33" t="s">
        <v>6</v>
      </c>
      <c r="Z36" s="33" t="s">
        <v>6</v>
      </c>
      <c r="AA36" s="33" t="s">
        <v>6</v>
      </c>
      <c r="AB36" s="33" t="s">
        <v>25</v>
      </c>
      <c r="AC36" s="33" t="s">
        <v>6</v>
      </c>
      <c r="AD36" s="33" t="s">
        <v>6</v>
      </c>
      <c r="AE36" s="33" t="s">
        <v>6</v>
      </c>
      <c r="AF36" s="33" t="s">
        <v>6</v>
      </c>
      <c r="AG36" s="33" t="s">
        <v>6</v>
      </c>
      <c r="AH36" s="33" t="s">
        <v>6</v>
      </c>
      <c r="AI36" s="33" t="s">
        <v>25</v>
      </c>
      <c r="AJ36" s="33">
        <f t="shared" si="1"/>
        <v>24</v>
      </c>
      <c r="AK36" s="33">
        <f t="shared" si="2"/>
        <v>0</v>
      </c>
      <c r="AL36" s="33">
        <f t="shared" si="3"/>
        <v>0</v>
      </c>
      <c r="AM36" s="33">
        <f t="shared" si="4"/>
        <v>1</v>
      </c>
      <c r="AN36" s="33">
        <f t="shared" si="5"/>
        <v>1</v>
      </c>
      <c r="AO36" s="33">
        <f t="shared" si="6"/>
        <v>0</v>
      </c>
      <c r="AP36" s="33">
        <f t="shared" si="7"/>
        <v>0</v>
      </c>
      <c r="AQ36" s="33">
        <f t="shared" si="8"/>
        <v>0</v>
      </c>
      <c r="AR36" s="33">
        <v>1.0</v>
      </c>
      <c r="AS36" s="33">
        <f t="shared" si="9"/>
        <v>0</v>
      </c>
      <c r="AT36" s="33">
        <v>2.0</v>
      </c>
      <c r="AU36" s="33">
        <f t="shared" si="10"/>
        <v>0</v>
      </c>
      <c r="AV36" s="33">
        <v>2.0</v>
      </c>
      <c r="AW36" s="34">
        <f t="shared" si="11"/>
        <v>26</v>
      </c>
      <c r="AX36" s="34">
        <f t="shared" si="12"/>
        <v>26</v>
      </c>
      <c r="AY36" s="24"/>
    </row>
    <row r="37" ht="15.75" customHeight="1">
      <c r="A37" s="3"/>
      <c r="B37" s="18" t="s">
        <v>82</v>
      </c>
      <c r="C37" s="29" t="s">
        <v>83</v>
      </c>
      <c r="D37" s="35" t="s">
        <v>24</v>
      </c>
      <c r="E37" s="36" t="s">
        <v>6</v>
      </c>
      <c r="F37" s="36" t="s">
        <v>6</v>
      </c>
      <c r="G37" s="36" t="s">
        <v>25</v>
      </c>
      <c r="H37" s="36" t="s">
        <v>6</v>
      </c>
      <c r="I37" s="36" t="s">
        <v>6</v>
      </c>
      <c r="J37" s="36" t="s">
        <v>6</v>
      </c>
      <c r="K37" s="36" t="s">
        <v>6</v>
      </c>
      <c r="L37" s="36" t="s">
        <v>9</v>
      </c>
      <c r="M37" s="36" t="s">
        <v>10</v>
      </c>
      <c r="N37" s="36" t="s">
        <v>25</v>
      </c>
      <c r="O37" s="36" t="s">
        <v>6</v>
      </c>
      <c r="P37" s="36" t="s">
        <v>6</v>
      </c>
      <c r="Q37" s="36" t="s">
        <v>6</v>
      </c>
      <c r="R37" s="36" t="s">
        <v>6</v>
      </c>
      <c r="S37" s="36" t="s">
        <v>6</v>
      </c>
      <c r="T37" s="36" t="s">
        <v>6</v>
      </c>
      <c r="U37" s="36" t="s">
        <v>25</v>
      </c>
      <c r="V37" s="36" t="s">
        <v>6</v>
      </c>
      <c r="W37" s="36" t="s">
        <v>6</v>
      </c>
      <c r="X37" s="36" t="s">
        <v>6</v>
      </c>
      <c r="Y37" s="36" t="s">
        <v>6</v>
      </c>
      <c r="Z37" s="36" t="s">
        <v>6</v>
      </c>
      <c r="AA37" s="36" t="s">
        <v>6</v>
      </c>
      <c r="AB37" s="36" t="s">
        <v>25</v>
      </c>
      <c r="AC37" s="36" t="s">
        <v>6</v>
      </c>
      <c r="AD37" s="36" t="s">
        <v>6</v>
      </c>
      <c r="AE37" s="36" t="s">
        <v>6</v>
      </c>
      <c r="AF37" s="36" t="s">
        <v>6</v>
      </c>
      <c r="AG37" s="36" t="s">
        <v>6</v>
      </c>
      <c r="AH37" s="36" t="s">
        <v>6</v>
      </c>
      <c r="AI37" s="36" t="s">
        <v>25</v>
      </c>
      <c r="AJ37" s="36">
        <f t="shared" si="1"/>
        <v>24</v>
      </c>
      <c r="AK37" s="36">
        <f t="shared" si="2"/>
        <v>0</v>
      </c>
      <c r="AL37" s="36">
        <f t="shared" si="3"/>
        <v>0</v>
      </c>
      <c r="AM37" s="36">
        <f t="shared" si="4"/>
        <v>1</v>
      </c>
      <c r="AN37" s="36">
        <f t="shared" si="5"/>
        <v>1</v>
      </c>
      <c r="AO37" s="36">
        <f t="shared" si="6"/>
        <v>0</v>
      </c>
      <c r="AP37" s="36">
        <f t="shared" si="7"/>
        <v>0</v>
      </c>
      <c r="AQ37" s="36">
        <f t="shared" si="8"/>
        <v>0</v>
      </c>
      <c r="AR37" s="36">
        <v>1.0</v>
      </c>
      <c r="AS37" s="36">
        <f t="shared" si="9"/>
        <v>0</v>
      </c>
      <c r="AT37" s="36">
        <v>2.0</v>
      </c>
      <c r="AU37" s="36">
        <f t="shared" si="10"/>
        <v>0</v>
      </c>
      <c r="AV37" s="36">
        <v>2.0</v>
      </c>
      <c r="AW37" s="37">
        <f t="shared" si="11"/>
        <v>26</v>
      </c>
      <c r="AX37" s="37">
        <f t="shared" si="12"/>
        <v>26</v>
      </c>
      <c r="AY37" s="18"/>
    </row>
    <row r="38" ht="15.75" customHeight="1">
      <c r="A38" s="3"/>
      <c r="B38" s="24" t="s">
        <v>84</v>
      </c>
      <c r="C38" s="31" t="s">
        <v>85</v>
      </c>
      <c r="D38" s="32" t="s">
        <v>24</v>
      </c>
      <c r="E38" s="33" t="s">
        <v>6</v>
      </c>
      <c r="F38" s="33" t="s">
        <v>6</v>
      </c>
      <c r="G38" s="33" t="s">
        <v>25</v>
      </c>
      <c r="H38" s="33" t="s">
        <v>6</v>
      </c>
      <c r="I38" s="33" t="s">
        <v>6</v>
      </c>
      <c r="J38" s="33" t="s">
        <v>6</v>
      </c>
      <c r="K38" s="33" t="s">
        <v>6</v>
      </c>
      <c r="L38" s="33" t="s">
        <v>9</v>
      </c>
      <c r="M38" s="33" t="s">
        <v>10</v>
      </c>
      <c r="N38" s="33" t="s">
        <v>25</v>
      </c>
      <c r="O38" s="33" t="s">
        <v>6</v>
      </c>
      <c r="P38" s="33" t="s">
        <v>6</v>
      </c>
      <c r="Q38" s="33" t="s">
        <v>6</v>
      </c>
      <c r="R38" s="33" t="s">
        <v>6</v>
      </c>
      <c r="S38" s="33" t="s">
        <v>6</v>
      </c>
      <c r="T38" s="33" t="s">
        <v>6</v>
      </c>
      <c r="U38" s="33" t="s">
        <v>25</v>
      </c>
      <c r="V38" s="33" t="s">
        <v>6</v>
      </c>
      <c r="W38" s="33" t="s">
        <v>6</v>
      </c>
      <c r="X38" s="33" t="s">
        <v>6</v>
      </c>
      <c r="Y38" s="33" t="s">
        <v>6</v>
      </c>
      <c r="Z38" s="33" t="s">
        <v>6</v>
      </c>
      <c r="AA38" s="33" t="s">
        <v>6</v>
      </c>
      <c r="AB38" s="33" t="s">
        <v>25</v>
      </c>
      <c r="AC38" s="33" t="s">
        <v>6</v>
      </c>
      <c r="AD38" s="33" t="s">
        <v>6</v>
      </c>
      <c r="AE38" s="33" t="s">
        <v>6</v>
      </c>
      <c r="AF38" s="33" t="s">
        <v>6</v>
      </c>
      <c r="AG38" s="33" t="s">
        <v>6</v>
      </c>
      <c r="AH38" s="33" t="s">
        <v>6</v>
      </c>
      <c r="AI38" s="33" t="s">
        <v>25</v>
      </c>
      <c r="AJ38" s="33">
        <f t="shared" si="1"/>
        <v>24</v>
      </c>
      <c r="AK38" s="33">
        <f t="shared" si="2"/>
        <v>0</v>
      </c>
      <c r="AL38" s="33">
        <f t="shared" si="3"/>
        <v>0</v>
      </c>
      <c r="AM38" s="33">
        <f t="shared" si="4"/>
        <v>1</v>
      </c>
      <c r="AN38" s="33">
        <f t="shared" si="5"/>
        <v>1</v>
      </c>
      <c r="AO38" s="33">
        <f t="shared" si="6"/>
        <v>0</v>
      </c>
      <c r="AP38" s="33">
        <f t="shared" si="7"/>
        <v>0</v>
      </c>
      <c r="AQ38" s="33">
        <f t="shared" si="8"/>
        <v>0</v>
      </c>
      <c r="AR38" s="33">
        <v>1.0</v>
      </c>
      <c r="AS38" s="33">
        <f t="shared" si="9"/>
        <v>0</v>
      </c>
      <c r="AT38" s="33">
        <v>2.0</v>
      </c>
      <c r="AU38" s="33">
        <f t="shared" si="10"/>
        <v>0</v>
      </c>
      <c r="AV38" s="33">
        <v>2.0</v>
      </c>
      <c r="AW38" s="34">
        <f t="shared" si="11"/>
        <v>26</v>
      </c>
      <c r="AX38" s="34">
        <f t="shared" si="12"/>
        <v>26</v>
      </c>
      <c r="AY38" s="24"/>
    </row>
    <row r="39" ht="15.75" customHeight="1">
      <c r="A39" s="3"/>
      <c r="B39" s="18" t="s">
        <v>86</v>
      </c>
      <c r="C39" s="29" t="s">
        <v>87</v>
      </c>
      <c r="D39" s="35" t="s">
        <v>24</v>
      </c>
      <c r="E39" s="36" t="s">
        <v>6</v>
      </c>
      <c r="F39" s="36" t="s">
        <v>6</v>
      </c>
      <c r="G39" s="36" t="s">
        <v>25</v>
      </c>
      <c r="H39" s="36" t="s">
        <v>6</v>
      </c>
      <c r="I39" s="36" t="s">
        <v>6</v>
      </c>
      <c r="J39" s="36" t="s">
        <v>6</v>
      </c>
      <c r="K39" s="36" t="s">
        <v>6</v>
      </c>
      <c r="L39" s="36" t="s">
        <v>9</v>
      </c>
      <c r="M39" s="36" t="s">
        <v>10</v>
      </c>
      <c r="N39" s="36" t="s">
        <v>25</v>
      </c>
      <c r="O39" s="36" t="s">
        <v>6</v>
      </c>
      <c r="P39" s="36" t="s">
        <v>6</v>
      </c>
      <c r="Q39" s="36" t="s">
        <v>6</v>
      </c>
      <c r="R39" s="36" t="s">
        <v>6</v>
      </c>
      <c r="S39" s="36" t="s">
        <v>6</v>
      </c>
      <c r="T39" s="36" t="s">
        <v>6</v>
      </c>
      <c r="U39" s="36" t="s">
        <v>25</v>
      </c>
      <c r="V39" s="36" t="s">
        <v>6</v>
      </c>
      <c r="W39" s="36" t="s">
        <v>6</v>
      </c>
      <c r="X39" s="36" t="s">
        <v>6</v>
      </c>
      <c r="Y39" s="36" t="s">
        <v>6</v>
      </c>
      <c r="Z39" s="36" t="s">
        <v>6</v>
      </c>
      <c r="AA39" s="36" t="s">
        <v>6</v>
      </c>
      <c r="AB39" s="36" t="s">
        <v>25</v>
      </c>
      <c r="AC39" s="36" t="s">
        <v>6</v>
      </c>
      <c r="AD39" s="36" t="s">
        <v>6</v>
      </c>
      <c r="AE39" s="36" t="s">
        <v>6</v>
      </c>
      <c r="AF39" s="36" t="s">
        <v>6</v>
      </c>
      <c r="AG39" s="36" t="s">
        <v>6</v>
      </c>
      <c r="AH39" s="36" t="s">
        <v>6</v>
      </c>
      <c r="AI39" s="36" t="s">
        <v>25</v>
      </c>
      <c r="AJ39" s="36">
        <f t="shared" si="1"/>
        <v>24</v>
      </c>
      <c r="AK39" s="36">
        <f t="shared" si="2"/>
        <v>0</v>
      </c>
      <c r="AL39" s="36">
        <f t="shared" si="3"/>
        <v>0</v>
      </c>
      <c r="AM39" s="36">
        <f t="shared" si="4"/>
        <v>1</v>
      </c>
      <c r="AN39" s="36">
        <f t="shared" si="5"/>
        <v>1</v>
      </c>
      <c r="AO39" s="36">
        <f t="shared" si="6"/>
        <v>0</v>
      </c>
      <c r="AP39" s="36">
        <f t="shared" si="7"/>
        <v>0</v>
      </c>
      <c r="AQ39" s="36">
        <f t="shared" si="8"/>
        <v>0</v>
      </c>
      <c r="AR39" s="36">
        <v>1.0</v>
      </c>
      <c r="AS39" s="36">
        <f t="shared" si="9"/>
        <v>0</v>
      </c>
      <c r="AT39" s="36">
        <v>2.0</v>
      </c>
      <c r="AU39" s="36">
        <f t="shared" si="10"/>
        <v>0</v>
      </c>
      <c r="AV39" s="36">
        <v>2.0</v>
      </c>
      <c r="AW39" s="37">
        <f t="shared" si="11"/>
        <v>26</v>
      </c>
      <c r="AX39" s="37">
        <f t="shared" si="12"/>
        <v>26</v>
      </c>
      <c r="AY39" s="18"/>
    </row>
    <row r="40" ht="15.75" customHeight="1">
      <c r="A40" s="3"/>
      <c r="B40" s="24" t="s">
        <v>88</v>
      </c>
      <c r="C40" s="31" t="s">
        <v>89</v>
      </c>
      <c r="D40" s="32" t="s">
        <v>24</v>
      </c>
      <c r="E40" s="33" t="s">
        <v>6</v>
      </c>
      <c r="F40" s="33" t="s">
        <v>6</v>
      </c>
      <c r="G40" s="33" t="s">
        <v>25</v>
      </c>
      <c r="H40" s="33" t="s">
        <v>6</v>
      </c>
      <c r="I40" s="33" t="s">
        <v>6</v>
      </c>
      <c r="J40" s="33" t="s">
        <v>6</v>
      </c>
      <c r="K40" s="33" t="s">
        <v>6</v>
      </c>
      <c r="L40" s="33" t="s">
        <v>9</v>
      </c>
      <c r="M40" s="33" t="s">
        <v>10</v>
      </c>
      <c r="N40" s="33" t="s">
        <v>25</v>
      </c>
      <c r="O40" s="33" t="s">
        <v>6</v>
      </c>
      <c r="P40" s="33" t="s">
        <v>6</v>
      </c>
      <c r="Q40" s="33" t="s">
        <v>6</v>
      </c>
      <c r="R40" s="33" t="s">
        <v>6</v>
      </c>
      <c r="S40" s="33" t="s">
        <v>6</v>
      </c>
      <c r="T40" s="33" t="s">
        <v>6</v>
      </c>
      <c r="U40" s="33" t="s">
        <v>25</v>
      </c>
      <c r="V40" s="33" t="s">
        <v>6</v>
      </c>
      <c r="W40" s="33" t="s">
        <v>6</v>
      </c>
      <c r="X40" s="33" t="s">
        <v>6</v>
      </c>
      <c r="Y40" s="33" t="s">
        <v>6</v>
      </c>
      <c r="Z40" s="33" t="s">
        <v>6</v>
      </c>
      <c r="AA40" s="33" t="s">
        <v>6</v>
      </c>
      <c r="AB40" s="33" t="s">
        <v>25</v>
      </c>
      <c r="AC40" s="33" t="s">
        <v>6</v>
      </c>
      <c r="AD40" s="33" t="s">
        <v>6</v>
      </c>
      <c r="AE40" s="33" t="s">
        <v>6</v>
      </c>
      <c r="AF40" s="33" t="s">
        <v>6</v>
      </c>
      <c r="AG40" s="33" t="s">
        <v>6</v>
      </c>
      <c r="AH40" s="33" t="s">
        <v>6</v>
      </c>
      <c r="AI40" s="33" t="s">
        <v>25</v>
      </c>
      <c r="AJ40" s="33">
        <f t="shared" si="1"/>
        <v>24</v>
      </c>
      <c r="AK40" s="33">
        <f t="shared" si="2"/>
        <v>0</v>
      </c>
      <c r="AL40" s="33">
        <f t="shared" si="3"/>
        <v>0</v>
      </c>
      <c r="AM40" s="33">
        <f t="shared" si="4"/>
        <v>1</v>
      </c>
      <c r="AN40" s="33">
        <f t="shared" si="5"/>
        <v>1</v>
      </c>
      <c r="AO40" s="33">
        <f t="shared" si="6"/>
        <v>0</v>
      </c>
      <c r="AP40" s="33">
        <f t="shared" si="7"/>
        <v>0</v>
      </c>
      <c r="AQ40" s="33">
        <f t="shared" si="8"/>
        <v>0</v>
      </c>
      <c r="AR40" s="33">
        <v>1.0</v>
      </c>
      <c r="AS40" s="33">
        <f t="shared" si="9"/>
        <v>0</v>
      </c>
      <c r="AT40" s="33">
        <v>2.0</v>
      </c>
      <c r="AU40" s="33">
        <f t="shared" si="10"/>
        <v>0</v>
      </c>
      <c r="AV40" s="33">
        <v>2.0</v>
      </c>
      <c r="AW40" s="34">
        <f t="shared" si="11"/>
        <v>26</v>
      </c>
      <c r="AX40" s="34">
        <f t="shared" si="12"/>
        <v>26</v>
      </c>
      <c r="AY40" s="24"/>
    </row>
    <row r="41" ht="15.75" customHeight="1">
      <c r="A41" s="3"/>
      <c r="B41" s="18" t="s">
        <v>90</v>
      </c>
      <c r="C41" s="29" t="s">
        <v>91</v>
      </c>
      <c r="D41" s="35" t="s">
        <v>24</v>
      </c>
      <c r="E41" s="36" t="s">
        <v>6</v>
      </c>
      <c r="F41" s="36" t="s">
        <v>6</v>
      </c>
      <c r="G41" s="36" t="s">
        <v>25</v>
      </c>
      <c r="H41" s="36" t="s">
        <v>6</v>
      </c>
      <c r="I41" s="36" t="s">
        <v>6</v>
      </c>
      <c r="J41" s="36" t="s">
        <v>6</v>
      </c>
      <c r="K41" s="36" t="s">
        <v>6</v>
      </c>
      <c r="L41" s="36" t="s">
        <v>9</v>
      </c>
      <c r="M41" s="36" t="s">
        <v>10</v>
      </c>
      <c r="N41" s="36" t="s">
        <v>25</v>
      </c>
      <c r="O41" s="36" t="s">
        <v>6</v>
      </c>
      <c r="P41" s="36" t="s">
        <v>6</v>
      </c>
      <c r="Q41" s="36" t="s">
        <v>6</v>
      </c>
      <c r="R41" s="36" t="s">
        <v>6</v>
      </c>
      <c r="S41" s="36" t="s">
        <v>6</v>
      </c>
      <c r="T41" s="36" t="s">
        <v>6</v>
      </c>
      <c r="U41" s="36" t="s">
        <v>25</v>
      </c>
      <c r="V41" s="36" t="s">
        <v>6</v>
      </c>
      <c r="W41" s="36" t="s">
        <v>6</v>
      </c>
      <c r="X41" s="36" t="s">
        <v>6</v>
      </c>
      <c r="Y41" s="36" t="s">
        <v>6</v>
      </c>
      <c r="Z41" s="36" t="s">
        <v>6</v>
      </c>
      <c r="AA41" s="36" t="s">
        <v>6</v>
      </c>
      <c r="AB41" s="36" t="s">
        <v>25</v>
      </c>
      <c r="AC41" s="36" t="s">
        <v>6</v>
      </c>
      <c r="AD41" s="36" t="s">
        <v>6</v>
      </c>
      <c r="AE41" s="36" t="s">
        <v>6</v>
      </c>
      <c r="AF41" s="36" t="s">
        <v>6</v>
      </c>
      <c r="AG41" s="36" t="s">
        <v>6</v>
      </c>
      <c r="AH41" s="36" t="s">
        <v>6</v>
      </c>
      <c r="AI41" s="36" t="s">
        <v>25</v>
      </c>
      <c r="AJ41" s="36">
        <f t="shared" si="1"/>
        <v>24</v>
      </c>
      <c r="AK41" s="36">
        <f t="shared" si="2"/>
        <v>0</v>
      </c>
      <c r="AL41" s="36">
        <f t="shared" si="3"/>
        <v>0</v>
      </c>
      <c r="AM41" s="36">
        <f t="shared" si="4"/>
        <v>1</v>
      </c>
      <c r="AN41" s="36">
        <f t="shared" si="5"/>
        <v>1</v>
      </c>
      <c r="AO41" s="36">
        <f t="shared" si="6"/>
        <v>0</v>
      </c>
      <c r="AP41" s="36">
        <f t="shared" si="7"/>
        <v>0</v>
      </c>
      <c r="AQ41" s="36">
        <f t="shared" si="8"/>
        <v>0</v>
      </c>
      <c r="AR41" s="36">
        <v>1.0</v>
      </c>
      <c r="AS41" s="36">
        <f t="shared" si="9"/>
        <v>0</v>
      </c>
      <c r="AT41" s="36">
        <v>2.0</v>
      </c>
      <c r="AU41" s="36">
        <f t="shared" si="10"/>
        <v>0</v>
      </c>
      <c r="AV41" s="36">
        <v>2.0</v>
      </c>
      <c r="AW41" s="37">
        <f t="shared" si="11"/>
        <v>26</v>
      </c>
      <c r="AX41" s="37">
        <f t="shared" si="12"/>
        <v>26</v>
      </c>
      <c r="AY41" s="18"/>
    </row>
    <row r="42" ht="15.75" customHeight="1">
      <c r="A42" s="3"/>
      <c r="B42" s="24" t="s">
        <v>92</v>
      </c>
      <c r="C42" s="31" t="s">
        <v>93</v>
      </c>
      <c r="D42" s="32" t="s">
        <v>24</v>
      </c>
      <c r="E42" s="33" t="s">
        <v>6</v>
      </c>
      <c r="F42" s="33" t="s">
        <v>6</v>
      </c>
      <c r="G42" s="33" t="s">
        <v>25</v>
      </c>
      <c r="H42" s="33" t="s">
        <v>6</v>
      </c>
      <c r="I42" s="33" t="s">
        <v>6</v>
      </c>
      <c r="J42" s="33" t="s">
        <v>6</v>
      </c>
      <c r="K42" s="33" t="s">
        <v>6</v>
      </c>
      <c r="L42" s="33" t="s">
        <v>9</v>
      </c>
      <c r="M42" s="33" t="s">
        <v>10</v>
      </c>
      <c r="N42" s="33" t="s">
        <v>25</v>
      </c>
      <c r="O42" s="33" t="s">
        <v>6</v>
      </c>
      <c r="P42" s="33" t="s">
        <v>6</v>
      </c>
      <c r="Q42" s="33" t="s">
        <v>6</v>
      </c>
      <c r="R42" s="33" t="s">
        <v>6</v>
      </c>
      <c r="S42" s="33" t="s">
        <v>6</v>
      </c>
      <c r="T42" s="33" t="s">
        <v>6</v>
      </c>
      <c r="U42" s="33" t="s">
        <v>25</v>
      </c>
      <c r="V42" s="33" t="s">
        <v>6</v>
      </c>
      <c r="W42" s="33" t="s">
        <v>6</v>
      </c>
      <c r="X42" s="33" t="s">
        <v>6</v>
      </c>
      <c r="Y42" s="33" t="s">
        <v>6</v>
      </c>
      <c r="Z42" s="33" t="s">
        <v>6</v>
      </c>
      <c r="AA42" s="33" t="s">
        <v>6</v>
      </c>
      <c r="AB42" s="33" t="s">
        <v>25</v>
      </c>
      <c r="AC42" s="33" t="s">
        <v>6</v>
      </c>
      <c r="AD42" s="33" t="s">
        <v>6</v>
      </c>
      <c r="AE42" s="33" t="s">
        <v>6</v>
      </c>
      <c r="AF42" s="33" t="s">
        <v>6</v>
      </c>
      <c r="AG42" s="33" t="s">
        <v>6</v>
      </c>
      <c r="AH42" s="33" t="s">
        <v>6</v>
      </c>
      <c r="AI42" s="33" t="s">
        <v>25</v>
      </c>
      <c r="AJ42" s="33">
        <f t="shared" si="1"/>
        <v>24</v>
      </c>
      <c r="AK42" s="33">
        <f t="shared" si="2"/>
        <v>0</v>
      </c>
      <c r="AL42" s="33">
        <f t="shared" si="3"/>
        <v>0</v>
      </c>
      <c r="AM42" s="33">
        <f t="shared" si="4"/>
        <v>1</v>
      </c>
      <c r="AN42" s="33">
        <f t="shared" si="5"/>
        <v>1</v>
      </c>
      <c r="AO42" s="33">
        <f t="shared" si="6"/>
        <v>0</v>
      </c>
      <c r="AP42" s="33">
        <f t="shared" si="7"/>
        <v>0</v>
      </c>
      <c r="AQ42" s="33">
        <f t="shared" si="8"/>
        <v>0</v>
      </c>
      <c r="AR42" s="33">
        <v>1.0</v>
      </c>
      <c r="AS42" s="33">
        <f t="shared" si="9"/>
        <v>0</v>
      </c>
      <c r="AT42" s="33">
        <v>2.0</v>
      </c>
      <c r="AU42" s="33">
        <f t="shared" si="10"/>
        <v>0</v>
      </c>
      <c r="AV42" s="33">
        <v>2.0</v>
      </c>
      <c r="AW42" s="34">
        <f t="shared" si="11"/>
        <v>26</v>
      </c>
      <c r="AX42" s="34">
        <f t="shared" si="12"/>
        <v>26</v>
      </c>
      <c r="AY42" s="24"/>
    </row>
    <row r="43" ht="15.75" customHeight="1">
      <c r="A43" s="3"/>
      <c r="B43" s="18" t="s">
        <v>94</v>
      </c>
      <c r="C43" s="29" t="s">
        <v>95</v>
      </c>
      <c r="D43" s="35" t="s">
        <v>24</v>
      </c>
      <c r="E43" s="36" t="s">
        <v>6</v>
      </c>
      <c r="F43" s="36" t="s">
        <v>6</v>
      </c>
      <c r="G43" s="36" t="s">
        <v>25</v>
      </c>
      <c r="H43" s="36" t="s">
        <v>6</v>
      </c>
      <c r="I43" s="36" t="s">
        <v>6</v>
      </c>
      <c r="J43" s="36" t="s">
        <v>6</v>
      </c>
      <c r="K43" s="36" t="s">
        <v>6</v>
      </c>
      <c r="L43" s="36" t="s">
        <v>9</v>
      </c>
      <c r="M43" s="36" t="s">
        <v>10</v>
      </c>
      <c r="N43" s="36" t="s">
        <v>25</v>
      </c>
      <c r="O43" s="36" t="s">
        <v>6</v>
      </c>
      <c r="P43" s="36" t="s">
        <v>6</v>
      </c>
      <c r="Q43" s="36" t="s">
        <v>6</v>
      </c>
      <c r="R43" s="36" t="s">
        <v>6</v>
      </c>
      <c r="S43" s="36" t="s">
        <v>6</v>
      </c>
      <c r="T43" s="36" t="s">
        <v>6</v>
      </c>
      <c r="U43" s="36" t="s">
        <v>25</v>
      </c>
      <c r="V43" s="36" t="s">
        <v>6</v>
      </c>
      <c r="W43" s="36" t="s">
        <v>6</v>
      </c>
      <c r="X43" s="36" t="s">
        <v>6</v>
      </c>
      <c r="Y43" s="36" t="s">
        <v>6</v>
      </c>
      <c r="Z43" s="36" t="s">
        <v>6</v>
      </c>
      <c r="AA43" s="36" t="s">
        <v>6</v>
      </c>
      <c r="AB43" s="36" t="s">
        <v>25</v>
      </c>
      <c r="AC43" s="36" t="s">
        <v>6</v>
      </c>
      <c r="AD43" s="36" t="s">
        <v>6</v>
      </c>
      <c r="AE43" s="36" t="s">
        <v>6</v>
      </c>
      <c r="AF43" s="36" t="s">
        <v>6</v>
      </c>
      <c r="AG43" s="36" t="s">
        <v>6</v>
      </c>
      <c r="AH43" s="36" t="s">
        <v>6</v>
      </c>
      <c r="AI43" s="36" t="s">
        <v>25</v>
      </c>
      <c r="AJ43" s="36">
        <f t="shared" si="1"/>
        <v>24</v>
      </c>
      <c r="AK43" s="36">
        <f t="shared" si="2"/>
        <v>0</v>
      </c>
      <c r="AL43" s="36">
        <f t="shared" si="3"/>
        <v>0</v>
      </c>
      <c r="AM43" s="36">
        <f t="shared" si="4"/>
        <v>1</v>
      </c>
      <c r="AN43" s="36">
        <f t="shared" si="5"/>
        <v>1</v>
      </c>
      <c r="AO43" s="36">
        <f t="shared" si="6"/>
        <v>0</v>
      </c>
      <c r="AP43" s="36">
        <f t="shared" si="7"/>
        <v>0</v>
      </c>
      <c r="AQ43" s="36">
        <f t="shared" si="8"/>
        <v>0</v>
      </c>
      <c r="AR43" s="36">
        <v>1.0</v>
      </c>
      <c r="AS43" s="36">
        <f t="shared" si="9"/>
        <v>0</v>
      </c>
      <c r="AT43" s="36">
        <v>2.0</v>
      </c>
      <c r="AU43" s="36">
        <f t="shared" si="10"/>
        <v>0</v>
      </c>
      <c r="AV43" s="36">
        <v>2.0</v>
      </c>
      <c r="AW43" s="37">
        <f t="shared" si="11"/>
        <v>26</v>
      </c>
      <c r="AX43" s="37">
        <f t="shared" si="12"/>
        <v>26</v>
      </c>
      <c r="AY43" s="18"/>
    </row>
    <row r="44" ht="15.75" customHeight="1">
      <c r="A44" s="3"/>
      <c r="B44" s="24" t="s">
        <v>96</v>
      </c>
      <c r="C44" s="31" t="s">
        <v>97</v>
      </c>
      <c r="D44" s="32" t="s">
        <v>24</v>
      </c>
      <c r="E44" s="33" t="s">
        <v>6</v>
      </c>
      <c r="F44" s="33" t="s">
        <v>6</v>
      </c>
      <c r="G44" s="33" t="s">
        <v>25</v>
      </c>
      <c r="H44" s="33" t="s">
        <v>6</v>
      </c>
      <c r="I44" s="33" t="s">
        <v>6</v>
      </c>
      <c r="J44" s="33" t="s">
        <v>6</v>
      </c>
      <c r="K44" s="33" t="s">
        <v>6</v>
      </c>
      <c r="L44" s="33" t="s">
        <v>9</v>
      </c>
      <c r="M44" s="33" t="s">
        <v>10</v>
      </c>
      <c r="N44" s="33" t="s">
        <v>25</v>
      </c>
      <c r="O44" s="33" t="s">
        <v>6</v>
      </c>
      <c r="P44" s="33" t="s">
        <v>6</v>
      </c>
      <c r="Q44" s="33" t="s">
        <v>6</v>
      </c>
      <c r="R44" s="33" t="s">
        <v>6</v>
      </c>
      <c r="S44" s="33" t="s">
        <v>6</v>
      </c>
      <c r="T44" s="33" t="s">
        <v>6</v>
      </c>
      <c r="U44" s="33" t="s">
        <v>25</v>
      </c>
      <c r="V44" s="33" t="s">
        <v>6</v>
      </c>
      <c r="W44" s="33" t="s">
        <v>6</v>
      </c>
      <c r="X44" s="33" t="s">
        <v>6</v>
      </c>
      <c r="Y44" s="33" t="s">
        <v>6</v>
      </c>
      <c r="Z44" s="33" t="s">
        <v>6</v>
      </c>
      <c r="AA44" s="33" t="s">
        <v>6</v>
      </c>
      <c r="AB44" s="33" t="s">
        <v>25</v>
      </c>
      <c r="AC44" s="33" t="s">
        <v>6</v>
      </c>
      <c r="AD44" s="33" t="s">
        <v>6</v>
      </c>
      <c r="AE44" s="33" t="s">
        <v>6</v>
      </c>
      <c r="AF44" s="33" t="s">
        <v>6</v>
      </c>
      <c r="AG44" s="33" t="s">
        <v>6</v>
      </c>
      <c r="AH44" s="33" t="s">
        <v>6</v>
      </c>
      <c r="AI44" s="33" t="s">
        <v>25</v>
      </c>
      <c r="AJ44" s="33">
        <f t="shared" si="1"/>
        <v>24</v>
      </c>
      <c r="AK44" s="33">
        <f t="shared" si="2"/>
        <v>0</v>
      </c>
      <c r="AL44" s="33">
        <f t="shared" si="3"/>
        <v>0</v>
      </c>
      <c r="AM44" s="33">
        <f t="shared" si="4"/>
        <v>1</v>
      </c>
      <c r="AN44" s="33">
        <f t="shared" si="5"/>
        <v>1</v>
      </c>
      <c r="AO44" s="33">
        <f t="shared" si="6"/>
        <v>0</v>
      </c>
      <c r="AP44" s="33">
        <f t="shared" si="7"/>
        <v>0</v>
      </c>
      <c r="AQ44" s="33">
        <f t="shared" si="8"/>
        <v>0</v>
      </c>
      <c r="AR44" s="33">
        <v>1.0</v>
      </c>
      <c r="AS44" s="33">
        <f t="shared" si="9"/>
        <v>0</v>
      </c>
      <c r="AT44" s="33">
        <v>2.0</v>
      </c>
      <c r="AU44" s="33">
        <f t="shared" si="10"/>
        <v>0</v>
      </c>
      <c r="AV44" s="33">
        <v>2.0</v>
      </c>
      <c r="AW44" s="34">
        <f t="shared" si="11"/>
        <v>26</v>
      </c>
      <c r="AX44" s="34">
        <f t="shared" si="12"/>
        <v>26</v>
      </c>
      <c r="AY44" s="24"/>
    </row>
    <row r="45" ht="15.75" customHeight="1">
      <c r="A45" s="3"/>
      <c r="B45" s="18" t="s">
        <v>98</v>
      </c>
      <c r="C45" s="29" t="s">
        <v>99</v>
      </c>
      <c r="D45" s="35" t="s">
        <v>24</v>
      </c>
      <c r="E45" s="36" t="s">
        <v>6</v>
      </c>
      <c r="F45" s="36" t="s">
        <v>6</v>
      </c>
      <c r="G45" s="36" t="s">
        <v>25</v>
      </c>
      <c r="H45" s="36" t="s">
        <v>6</v>
      </c>
      <c r="I45" s="36" t="s">
        <v>6</v>
      </c>
      <c r="J45" s="36" t="s">
        <v>6</v>
      </c>
      <c r="K45" s="36" t="s">
        <v>6</v>
      </c>
      <c r="L45" s="36" t="s">
        <v>9</v>
      </c>
      <c r="M45" s="36" t="s">
        <v>10</v>
      </c>
      <c r="N45" s="36" t="s">
        <v>25</v>
      </c>
      <c r="O45" s="36" t="s">
        <v>6</v>
      </c>
      <c r="P45" s="36" t="s">
        <v>6</v>
      </c>
      <c r="Q45" s="36" t="s">
        <v>6</v>
      </c>
      <c r="R45" s="36" t="s">
        <v>6</v>
      </c>
      <c r="S45" s="36" t="s">
        <v>6</v>
      </c>
      <c r="T45" s="36" t="s">
        <v>6</v>
      </c>
      <c r="U45" s="36" t="s">
        <v>25</v>
      </c>
      <c r="V45" s="36" t="s">
        <v>6</v>
      </c>
      <c r="W45" s="36" t="s">
        <v>6</v>
      </c>
      <c r="X45" s="36" t="s">
        <v>6</v>
      </c>
      <c r="Y45" s="36" t="s">
        <v>6</v>
      </c>
      <c r="Z45" s="36" t="s">
        <v>6</v>
      </c>
      <c r="AA45" s="36" t="s">
        <v>6</v>
      </c>
      <c r="AB45" s="36" t="s">
        <v>25</v>
      </c>
      <c r="AC45" s="36" t="s">
        <v>6</v>
      </c>
      <c r="AD45" s="36" t="s">
        <v>6</v>
      </c>
      <c r="AE45" s="36" t="s">
        <v>6</v>
      </c>
      <c r="AF45" s="36" t="s">
        <v>6</v>
      </c>
      <c r="AG45" s="36" t="s">
        <v>6</v>
      </c>
      <c r="AH45" s="36" t="s">
        <v>6</v>
      </c>
      <c r="AI45" s="36" t="s">
        <v>25</v>
      </c>
      <c r="AJ45" s="36">
        <f t="shared" si="1"/>
        <v>24</v>
      </c>
      <c r="AK45" s="36">
        <f t="shared" si="2"/>
        <v>0</v>
      </c>
      <c r="AL45" s="36">
        <f t="shared" si="3"/>
        <v>0</v>
      </c>
      <c r="AM45" s="36">
        <f t="shared" si="4"/>
        <v>1</v>
      </c>
      <c r="AN45" s="36">
        <f t="shared" si="5"/>
        <v>1</v>
      </c>
      <c r="AO45" s="36">
        <f t="shared" si="6"/>
        <v>0</v>
      </c>
      <c r="AP45" s="36">
        <f t="shared" si="7"/>
        <v>0</v>
      </c>
      <c r="AQ45" s="36">
        <f t="shared" si="8"/>
        <v>0</v>
      </c>
      <c r="AR45" s="36">
        <v>1.0</v>
      </c>
      <c r="AS45" s="36">
        <f t="shared" si="9"/>
        <v>0</v>
      </c>
      <c r="AT45" s="36">
        <v>2.0</v>
      </c>
      <c r="AU45" s="36">
        <f t="shared" si="10"/>
        <v>0</v>
      </c>
      <c r="AV45" s="36">
        <v>2.0</v>
      </c>
      <c r="AW45" s="37">
        <f t="shared" si="11"/>
        <v>26</v>
      </c>
      <c r="AX45" s="37">
        <f t="shared" si="12"/>
        <v>26</v>
      </c>
      <c r="AY45" s="18"/>
    </row>
    <row r="46" ht="15.75" customHeight="1">
      <c r="A46" s="3"/>
      <c r="B46" s="24" t="s">
        <v>100</v>
      </c>
      <c r="C46" s="31" t="s">
        <v>101</v>
      </c>
      <c r="D46" s="32" t="s">
        <v>24</v>
      </c>
      <c r="E46" s="33" t="s">
        <v>6</v>
      </c>
      <c r="F46" s="33" t="s">
        <v>6</v>
      </c>
      <c r="G46" s="33" t="s">
        <v>25</v>
      </c>
      <c r="H46" s="33" t="s">
        <v>6</v>
      </c>
      <c r="I46" s="33" t="s">
        <v>6</v>
      </c>
      <c r="J46" s="33" t="s">
        <v>6</v>
      </c>
      <c r="K46" s="33" t="s">
        <v>6</v>
      </c>
      <c r="L46" s="33" t="s">
        <v>9</v>
      </c>
      <c r="M46" s="33" t="s">
        <v>10</v>
      </c>
      <c r="N46" s="33" t="s">
        <v>25</v>
      </c>
      <c r="O46" s="33" t="s">
        <v>6</v>
      </c>
      <c r="P46" s="33" t="s">
        <v>6</v>
      </c>
      <c r="Q46" s="33" t="s">
        <v>6</v>
      </c>
      <c r="R46" s="33" t="s">
        <v>6</v>
      </c>
      <c r="S46" s="33" t="s">
        <v>6</v>
      </c>
      <c r="T46" s="33" t="s">
        <v>6</v>
      </c>
      <c r="U46" s="33" t="s">
        <v>25</v>
      </c>
      <c r="V46" s="33" t="s">
        <v>6</v>
      </c>
      <c r="W46" s="33" t="s">
        <v>6</v>
      </c>
      <c r="X46" s="33" t="s">
        <v>6</v>
      </c>
      <c r="Y46" s="33" t="s">
        <v>6</v>
      </c>
      <c r="Z46" s="33" t="s">
        <v>6</v>
      </c>
      <c r="AA46" s="33" t="s">
        <v>6</v>
      </c>
      <c r="AB46" s="33" t="s">
        <v>25</v>
      </c>
      <c r="AC46" s="33" t="s">
        <v>6</v>
      </c>
      <c r="AD46" s="33" t="s">
        <v>6</v>
      </c>
      <c r="AE46" s="33" t="s">
        <v>6</v>
      </c>
      <c r="AF46" s="33" t="s">
        <v>6</v>
      </c>
      <c r="AG46" s="33" t="s">
        <v>6</v>
      </c>
      <c r="AH46" s="33" t="s">
        <v>6</v>
      </c>
      <c r="AI46" s="33" t="s">
        <v>25</v>
      </c>
      <c r="AJ46" s="33">
        <f t="shared" si="1"/>
        <v>24</v>
      </c>
      <c r="AK46" s="33">
        <f t="shared" si="2"/>
        <v>0</v>
      </c>
      <c r="AL46" s="33">
        <f t="shared" si="3"/>
        <v>0</v>
      </c>
      <c r="AM46" s="33">
        <f t="shared" si="4"/>
        <v>1</v>
      </c>
      <c r="AN46" s="33">
        <f t="shared" si="5"/>
        <v>1</v>
      </c>
      <c r="AO46" s="33">
        <f t="shared" si="6"/>
        <v>0</v>
      </c>
      <c r="AP46" s="33">
        <f t="shared" si="7"/>
        <v>0</v>
      </c>
      <c r="AQ46" s="33">
        <f t="shared" si="8"/>
        <v>0</v>
      </c>
      <c r="AR46" s="33">
        <v>1.0</v>
      </c>
      <c r="AS46" s="33">
        <f t="shared" si="9"/>
        <v>0</v>
      </c>
      <c r="AT46" s="33">
        <v>2.0</v>
      </c>
      <c r="AU46" s="33">
        <f t="shared" si="10"/>
        <v>0</v>
      </c>
      <c r="AV46" s="33">
        <v>2.0</v>
      </c>
      <c r="AW46" s="34">
        <f t="shared" si="11"/>
        <v>26</v>
      </c>
      <c r="AX46" s="34">
        <f t="shared" si="12"/>
        <v>26</v>
      </c>
      <c r="AY46" s="24"/>
    </row>
    <row r="47" ht="15.75" customHeight="1">
      <c r="A47" s="3"/>
      <c r="B47" s="18" t="s">
        <v>102</v>
      </c>
      <c r="C47" s="29" t="s">
        <v>103</v>
      </c>
      <c r="D47" s="35" t="s">
        <v>24</v>
      </c>
      <c r="E47" s="36" t="s">
        <v>6</v>
      </c>
      <c r="F47" s="36" t="s">
        <v>6</v>
      </c>
      <c r="G47" s="36" t="s">
        <v>25</v>
      </c>
      <c r="H47" s="36" t="s">
        <v>6</v>
      </c>
      <c r="I47" s="36" t="s">
        <v>6</v>
      </c>
      <c r="J47" s="36" t="s">
        <v>6</v>
      </c>
      <c r="K47" s="36" t="s">
        <v>6</v>
      </c>
      <c r="L47" s="36" t="s">
        <v>9</v>
      </c>
      <c r="M47" s="36" t="s">
        <v>10</v>
      </c>
      <c r="N47" s="36" t="s">
        <v>25</v>
      </c>
      <c r="O47" s="36" t="s">
        <v>6</v>
      </c>
      <c r="P47" s="36" t="s">
        <v>6</v>
      </c>
      <c r="Q47" s="36" t="s">
        <v>6</v>
      </c>
      <c r="R47" s="36" t="s">
        <v>6</v>
      </c>
      <c r="S47" s="36" t="s">
        <v>6</v>
      </c>
      <c r="T47" s="36" t="s">
        <v>6</v>
      </c>
      <c r="U47" s="36" t="s">
        <v>25</v>
      </c>
      <c r="V47" s="36" t="s">
        <v>6</v>
      </c>
      <c r="W47" s="36" t="s">
        <v>6</v>
      </c>
      <c r="X47" s="36" t="s">
        <v>6</v>
      </c>
      <c r="Y47" s="36" t="s">
        <v>6</v>
      </c>
      <c r="Z47" s="36" t="s">
        <v>6</v>
      </c>
      <c r="AA47" s="36" t="s">
        <v>6</v>
      </c>
      <c r="AB47" s="36" t="s">
        <v>25</v>
      </c>
      <c r="AC47" s="36" t="s">
        <v>6</v>
      </c>
      <c r="AD47" s="36" t="s">
        <v>6</v>
      </c>
      <c r="AE47" s="36" t="s">
        <v>6</v>
      </c>
      <c r="AF47" s="36" t="s">
        <v>6</v>
      </c>
      <c r="AG47" s="36" t="s">
        <v>6</v>
      </c>
      <c r="AH47" s="36" t="s">
        <v>6</v>
      </c>
      <c r="AI47" s="36" t="s">
        <v>25</v>
      </c>
      <c r="AJ47" s="36">
        <f t="shared" si="1"/>
        <v>24</v>
      </c>
      <c r="AK47" s="36">
        <f t="shared" si="2"/>
        <v>0</v>
      </c>
      <c r="AL47" s="36">
        <f t="shared" si="3"/>
        <v>0</v>
      </c>
      <c r="AM47" s="36">
        <f t="shared" si="4"/>
        <v>1</v>
      </c>
      <c r="AN47" s="36">
        <f t="shared" si="5"/>
        <v>1</v>
      </c>
      <c r="AO47" s="36">
        <f t="shared" si="6"/>
        <v>0</v>
      </c>
      <c r="AP47" s="36">
        <f t="shared" si="7"/>
        <v>0</v>
      </c>
      <c r="AQ47" s="36">
        <f t="shared" si="8"/>
        <v>0</v>
      </c>
      <c r="AR47" s="36">
        <v>1.0</v>
      </c>
      <c r="AS47" s="36">
        <f t="shared" si="9"/>
        <v>0</v>
      </c>
      <c r="AT47" s="36">
        <v>2.0</v>
      </c>
      <c r="AU47" s="36">
        <f t="shared" si="10"/>
        <v>0</v>
      </c>
      <c r="AV47" s="36">
        <v>2.0</v>
      </c>
      <c r="AW47" s="37">
        <f t="shared" si="11"/>
        <v>26</v>
      </c>
      <c r="AX47" s="37">
        <f t="shared" si="12"/>
        <v>26</v>
      </c>
      <c r="AY47" s="18"/>
    </row>
    <row r="48" ht="15.75" customHeight="1">
      <c r="A48" s="3"/>
      <c r="B48" s="24" t="s">
        <v>104</v>
      </c>
      <c r="C48" s="31" t="s">
        <v>105</v>
      </c>
      <c r="D48" s="32" t="s">
        <v>24</v>
      </c>
      <c r="E48" s="33" t="s">
        <v>6</v>
      </c>
      <c r="F48" s="33" t="s">
        <v>6</v>
      </c>
      <c r="G48" s="33" t="s">
        <v>25</v>
      </c>
      <c r="H48" s="33" t="s">
        <v>6</v>
      </c>
      <c r="I48" s="33" t="s">
        <v>6</v>
      </c>
      <c r="J48" s="33" t="s">
        <v>6</v>
      </c>
      <c r="K48" s="33" t="s">
        <v>6</v>
      </c>
      <c r="L48" s="33" t="s">
        <v>9</v>
      </c>
      <c r="M48" s="33" t="s">
        <v>10</v>
      </c>
      <c r="N48" s="33" t="s">
        <v>25</v>
      </c>
      <c r="O48" s="33" t="s">
        <v>6</v>
      </c>
      <c r="P48" s="33" t="s">
        <v>6</v>
      </c>
      <c r="Q48" s="33" t="s">
        <v>6</v>
      </c>
      <c r="R48" s="33" t="s">
        <v>6</v>
      </c>
      <c r="S48" s="33" t="s">
        <v>6</v>
      </c>
      <c r="T48" s="33" t="s">
        <v>6</v>
      </c>
      <c r="U48" s="33" t="s">
        <v>25</v>
      </c>
      <c r="V48" s="33" t="s">
        <v>6</v>
      </c>
      <c r="W48" s="33" t="s">
        <v>6</v>
      </c>
      <c r="X48" s="33" t="s">
        <v>6</v>
      </c>
      <c r="Y48" s="33" t="s">
        <v>6</v>
      </c>
      <c r="Z48" s="33" t="s">
        <v>6</v>
      </c>
      <c r="AA48" s="33" t="s">
        <v>6</v>
      </c>
      <c r="AB48" s="33" t="s">
        <v>25</v>
      </c>
      <c r="AC48" s="33" t="s">
        <v>6</v>
      </c>
      <c r="AD48" s="33" t="s">
        <v>6</v>
      </c>
      <c r="AE48" s="33" t="s">
        <v>6</v>
      </c>
      <c r="AF48" s="33" t="s">
        <v>6</v>
      </c>
      <c r="AG48" s="33" t="s">
        <v>6</v>
      </c>
      <c r="AH48" s="33" t="s">
        <v>6</v>
      </c>
      <c r="AI48" s="33" t="s">
        <v>25</v>
      </c>
      <c r="AJ48" s="33">
        <f t="shared" si="1"/>
        <v>24</v>
      </c>
      <c r="AK48" s="33">
        <f t="shared" si="2"/>
        <v>0</v>
      </c>
      <c r="AL48" s="33">
        <f t="shared" si="3"/>
        <v>0</v>
      </c>
      <c r="AM48" s="33">
        <f t="shared" si="4"/>
        <v>1</v>
      </c>
      <c r="AN48" s="33">
        <f t="shared" si="5"/>
        <v>1</v>
      </c>
      <c r="AO48" s="33">
        <f t="shared" si="6"/>
        <v>0</v>
      </c>
      <c r="AP48" s="33">
        <f t="shared" si="7"/>
        <v>0</v>
      </c>
      <c r="AQ48" s="33">
        <f t="shared" si="8"/>
        <v>0</v>
      </c>
      <c r="AR48" s="33">
        <v>1.0</v>
      </c>
      <c r="AS48" s="33">
        <f t="shared" si="9"/>
        <v>0</v>
      </c>
      <c r="AT48" s="33">
        <v>2.0</v>
      </c>
      <c r="AU48" s="33">
        <f t="shared" si="10"/>
        <v>0</v>
      </c>
      <c r="AV48" s="33">
        <v>2.0</v>
      </c>
      <c r="AW48" s="34">
        <f t="shared" si="11"/>
        <v>26</v>
      </c>
      <c r="AX48" s="34">
        <f t="shared" si="12"/>
        <v>26</v>
      </c>
      <c r="AY48" s="24"/>
    </row>
    <row r="49" ht="15.75" customHeight="1">
      <c r="A49" s="3"/>
      <c r="B49" s="18" t="s">
        <v>106</v>
      </c>
      <c r="C49" s="29" t="s">
        <v>107</v>
      </c>
      <c r="D49" s="35" t="s">
        <v>24</v>
      </c>
      <c r="E49" s="36" t="s">
        <v>6</v>
      </c>
      <c r="F49" s="36" t="s">
        <v>6</v>
      </c>
      <c r="G49" s="36" t="s">
        <v>25</v>
      </c>
      <c r="H49" s="36" t="s">
        <v>6</v>
      </c>
      <c r="I49" s="36" t="s">
        <v>6</v>
      </c>
      <c r="J49" s="36" t="s">
        <v>6</v>
      </c>
      <c r="K49" s="36" t="s">
        <v>6</v>
      </c>
      <c r="L49" s="36" t="s">
        <v>9</v>
      </c>
      <c r="M49" s="36" t="s">
        <v>10</v>
      </c>
      <c r="N49" s="36" t="s">
        <v>25</v>
      </c>
      <c r="O49" s="36" t="s">
        <v>6</v>
      </c>
      <c r="P49" s="36" t="s">
        <v>6</v>
      </c>
      <c r="Q49" s="36" t="s">
        <v>6</v>
      </c>
      <c r="R49" s="36" t="s">
        <v>6</v>
      </c>
      <c r="S49" s="36" t="s">
        <v>6</v>
      </c>
      <c r="T49" s="36" t="s">
        <v>6</v>
      </c>
      <c r="U49" s="36" t="s">
        <v>25</v>
      </c>
      <c r="V49" s="36" t="s">
        <v>6</v>
      </c>
      <c r="W49" s="36" t="s">
        <v>6</v>
      </c>
      <c r="X49" s="36" t="s">
        <v>6</v>
      </c>
      <c r="Y49" s="36" t="s">
        <v>6</v>
      </c>
      <c r="Z49" s="36" t="s">
        <v>6</v>
      </c>
      <c r="AA49" s="36" t="s">
        <v>6</v>
      </c>
      <c r="AB49" s="36" t="s">
        <v>25</v>
      </c>
      <c r="AC49" s="36" t="s">
        <v>6</v>
      </c>
      <c r="AD49" s="36" t="s">
        <v>6</v>
      </c>
      <c r="AE49" s="36" t="s">
        <v>6</v>
      </c>
      <c r="AF49" s="36" t="s">
        <v>6</v>
      </c>
      <c r="AG49" s="36" t="s">
        <v>6</v>
      </c>
      <c r="AH49" s="36" t="s">
        <v>6</v>
      </c>
      <c r="AI49" s="36" t="s">
        <v>25</v>
      </c>
      <c r="AJ49" s="36">
        <f t="shared" si="1"/>
        <v>24</v>
      </c>
      <c r="AK49" s="36">
        <f t="shared" si="2"/>
        <v>0</v>
      </c>
      <c r="AL49" s="36">
        <f t="shared" si="3"/>
        <v>0</v>
      </c>
      <c r="AM49" s="36">
        <f t="shared" si="4"/>
        <v>1</v>
      </c>
      <c r="AN49" s="36">
        <f t="shared" si="5"/>
        <v>1</v>
      </c>
      <c r="AO49" s="36">
        <f t="shared" si="6"/>
        <v>0</v>
      </c>
      <c r="AP49" s="36">
        <f t="shared" si="7"/>
        <v>0</v>
      </c>
      <c r="AQ49" s="36">
        <f t="shared" si="8"/>
        <v>0</v>
      </c>
      <c r="AR49" s="36">
        <v>1.0</v>
      </c>
      <c r="AS49" s="36">
        <f t="shared" si="9"/>
        <v>0</v>
      </c>
      <c r="AT49" s="36">
        <v>2.0</v>
      </c>
      <c r="AU49" s="36">
        <f t="shared" si="10"/>
        <v>0</v>
      </c>
      <c r="AV49" s="36">
        <v>2.0</v>
      </c>
      <c r="AW49" s="37">
        <f t="shared" si="11"/>
        <v>26</v>
      </c>
      <c r="AX49" s="37">
        <f t="shared" si="12"/>
        <v>26</v>
      </c>
      <c r="AY49" s="18"/>
    </row>
    <row r="50" ht="15.75" customHeight="1">
      <c r="A50" s="3"/>
      <c r="B50" s="24" t="s">
        <v>108</v>
      </c>
      <c r="C50" s="31" t="s">
        <v>109</v>
      </c>
      <c r="D50" s="32" t="s">
        <v>24</v>
      </c>
      <c r="E50" s="33" t="s">
        <v>6</v>
      </c>
      <c r="F50" s="33" t="s">
        <v>6</v>
      </c>
      <c r="G50" s="33" t="s">
        <v>25</v>
      </c>
      <c r="H50" s="33" t="s">
        <v>6</v>
      </c>
      <c r="I50" s="33" t="s">
        <v>6</v>
      </c>
      <c r="J50" s="33" t="s">
        <v>6</v>
      </c>
      <c r="K50" s="33" t="s">
        <v>6</v>
      </c>
      <c r="L50" s="33" t="s">
        <v>9</v>
      </c>
      <c r="M50" s="33" t="s">
        <v>10</v>
      </c>
      <c r="N50" s="33" t="s">
        <v>25</v>
      </c>
      <c r="O50" s="33" t="s">
        <v>6</v>
      </c>
      <c r="P50" s="33" t="s">
        <v>6</v>
      </c>
      <c r="Q50" s="33" t="s">
        <v>6</v>
      </c>
      <c r="R50" s="33" t="s">
        <v>6</v>
      </c>
      <c r="S50" s="33" t="s">
        <v>6</v>
      </c>
      <c r="T50" s="33" t="s">
        <v>6</v>
      </c>
      <c r="U50" s="33" t="s">
        <v>25</v>
      </c>
      <c r="V50" s="33" t="s">
        <v>6</v>
      </c>
      <c r="W50" s="33" t="s">
        <v>6</v>
      </c>
      <c r="X50" s="33" t="s">
        <v>6</v>
      </c>
      <c r="Y50" s="33" t="s">
        <v>6</v>
      </c>
      <c r="Z50" s="33" t="s">
        <v>6</v>
      </c>
      <c r="AA50" s="33" t="s">
        <v>6</v>
      </c>
      <c r="AB50" s="33" t="s">
        <v>25</v>
      </c>
      <c r="AC50" s="33" t="s">
        <v>6</v>
      </c>
      <c r="AD50" s="33" t="s">
        <v>6</v>
      </c>
      <c r="AE50" s="33" t="s">
        <v>6</v>
      </c>
      <c r="AF50" s="33" t="s">
        <v>6</v>
      </c>
      <c r="AG50" s="33" t="s">
        <v>6</v>
      </c>
      <c r="AH50" s="33" t="s">
        <v>6</v>
      </c>
      <c r="AI50" s="33" t="s">
        <v>25</v>
      </c>
      <c r="AJ50" s="33">
        <f t="shared" si="1"/>
        <v>24</v>
      </c>
      <c r="AK50" s="33">
        <f t="shared" si="2"/>
        <v>0</v>
      </c>
      <c r="AL50" s="33">
        <f t="shared" si="3"/>
        <v>0</v>
      </c>
      <c r="AM50" s="33">
        <f t="shared" si="4"/>
        <v>1</v>
      </c>
      <c r="AN50" s="33">
        <f t="shared" si="5"/>
        <v>1</v>
      </c>
      <c r="AO50" s="33">
        <f t="shared" si="6"/>
        <v>0</v>
      </c>
      <c r="AP50" s="33">
        <f t="shared" si="7"/>
        <v>0</v>
      </c>
      <c r="AQ50" s="33">
        <f t="shared" si="8"/>
        <v>0</v>
      </c>
      <c r="AR50" s="33">
        <v>1.0</v>
      </c>
      <c r="AS50" s="33">
        <f t="shared" si="9"/>
        <v>0</v>
      </c>
      <c r="AT50" s="33">
        <v>2.0</v>
      </c>
      <c r="AU50" s="33">
        <f t="shared" si="10"/>
        <v>0</v>
      </c>
      <c r="AV50" s="33">
        <v>2.0</v>
      </c>
      <c r="AW50" s="34">
        <f t="shared" si="11"/>
        <v>26</v>
      </c>
      <c r="AX50" s="34">
        <f t="shared" si="12"/>
        <v>26</v>
      </c>
      <c r="AY50" s="24"/>
    </row>
    <row r="51" ht="15.75" customHeight="1">
      <c r="A51" s="3"/>
      <c r="B51" s="18" t="s">
        <v>110</v>
      </c>
      <c r="C51" s="29" t="s">
        <v>111</v>
      </c>
      <c r="D51" s="35" t="s">
        <v>24</v>
      </c>
      <c r="E51" s="36" t="s">
        <v>6</v>
      </c>
      <c r="F51" s="36" t="s">
        <v>6</v>
      </c>
      <c r="G51" s="36" t="s">
        <v>25</v>
      </c>
      <c r="H51" s="36" t="s">
        <v>6</v>
      </c>
      <c r="I51" s="36" t="s">
        <v>6</v>
      </c>
      <c r="J51" s="36" t="s">
        <v>6</v>
      </c>
      <c r="K51" s="36" t="s">
        <v>6</v>
      </c>
      <c r="L51" s="36" t="s">
        <v>9</v>
      </c>
      <c r="M51" s="36" t="s">
        <v>10</v>
      </c>
      <c r="N51" s="36" t="s">
        <v>25</v>
      </c>
      <c r="O51" s="36" t="s">
        <v>6</v>
      </c>
      <c r="P51" s="36" t="s">
        <v>6</v>
      </c>
      <c r="Q51" s="36" t="s">
        <v>6</v>
      </c>
      <c r="R51" s="36" t="s">
        <v>6</v>
      </c>
      <c r="S51" s="36" t="s">
        <v>6</v>
      </c>
      <c r="T51" s="36" t="s">
        <v>6</v>
      </c>
      <c r="U51" s="36" t="s">
        <v>25</v>
      </c>
      <c r="V51" s="36" t="s">
        <v>6</v>
      </c>
      <c r="W51" s="36" t="s">
        <v>6</v>
      </c>
      <c r="X51" s="36" t="s">
        <v>6</v>
      </c>
      <c r="Y51" s="36" t="s">
        <v>6</v>
      </c>
      <c r="Z51" s="36" t="s">
        <v>6</v>
      </c>
      <c r="AA51" s="36" t="s">
        <v>6</v>
      </c>
      <c r="AB51" s="36" t="s">
        <v>25</v>
      </c>
      <c r="AC51" s="36" t="s">
        <v>6</v>
      </c>
      <c r="AD51" s="36" t="s">
        <v>6</v>
      </c>
      <c r="AE51" s="36" t="s">
        <v>6</v>
      </c>
      <c r="AF51" s="36" t="s">
        <v>6</v>
      </c>
      <c r="AG51" s="36" t="s">
        <v>6</v>
      </c>
      <c r="AH51" s="36" t="s">
        <v>6</v>
      </c>
      <c r="AI51" s="36" t="s">
        <v>25</v>
      </c>
      <c r="AJ51" s="36">
        <f t="shared" si="1"/>
        <v>24</v>
      </c>
      <c r="AK51" s="36">
        <f t="shared" si="2"/>
        <v>0</v>
      </c>
      <c r="AL51" s="36">
        <f t="shared" si="3"/>
        <v>0</v>
      </c>
      <c r="AM51" s="36">
        <f t="shared" si="4"/>
        <v>1</v>
      </c>
      <c r="AN51" s="36">
        <f t="shared" si="5"/>
        <v>1</v>
      </c>
      <c r="AO51" s="36">
        <f t="shared" si="6"/>
        <v>0</v>
      </c>
      <c r="AP51" s="36">
        <f t="shared" si="7"/>
        <v>0</v>
      </c>
      <c r="AQ51" s="36">
        <f t="shared" si="8"/>
        <v>0</v>
      </c>
      <c r="AR51" s="36">
        <v>1.0</v>
      </c>
      <c r="AS51" s="36">
        <f t="shared" si="9"/>
        <v>0</v>
      </c>
      <c r="AT51" s="36">
        <v>2.0</v>
      </c>
      <c r="AU51" s="36">
        <f t="shared" si="10"/>
        <v>0</v>
      </c>
      <c r="AV51" s="36">
        <v>2.0</v>
      </c>
      <c r="AW51" s="37">
        <f t="shared" si="11"/>
        <v>26</v>
      </c>
      <c r="AX51" s="37">
        <f t="shared" si="12"/>
        <v>26</v>
      </c>
      <c r="AY51" s="18"/>
    </row>
    <row r="52" ht="15.75" customHeight="1">
      <c r="A52" s="3"/>
      <c r="B52" s="24" t="s">
        <v>112</v>
      </c>
      <c r="C52" s="31" t="s">
        <v>113</v>
      </c>
      <c r="D52" s="32" t="s">
        <v>24</v>
      </c>
      <c r="E52" s="33" t="s">
        <v>6</v>
      </c>
      <c r="F52" s="33" t="s">
        <v>6</v>
      </c>
      <c r="G52" s="33" t="s">
        <v>25</v>
      </c>
      <c r="H52" s="33" t="s">
        <v>6</v>
      </c>
      <c r="I52" s="33" t="s">
        <v>6</v>
      </c>
      <c r="J52" s="33" t="s">
        <v>6</v>
      </c>
      <c r="K52" s="33" t="s">
        <v>6</v>
      </c>
      <c r="L52" s="33" t="s">
        <v>9</v>
      </c>
      <c r="M52" s="33" t="s">
        <v>10</v>
      </c>
      <c r="N52" s="33" t="s">
        <v>25</v>
      </c>
      <c r="O52" s="33" t="s">
        <v>6</v>
      </c>
      <c r="P52" s="33" t="s">
        <v>6</v>
      </c>
      <c r="Q52" s="33" t="s">
        <v>6</v>
      </c>
      <c r="R52" s="33" t="s">
        <v>6</v>
      </c>
      <c r="S52" s="33" t="s">
        <v>6</v>
      </c>
      <c r="T52" s="33" t="s">
        <v>6</v>
      </c>
      <c r="U52" s="33" t="s">
        <v>25</v>
      </c>
      <c r="V52" s="33" t="s">
        <v>6</v>
      </c>
      <c r="W52" s="33" t="s">
        <v>6</v>
      </c>
      <c r="X52" s="33" t="s">
        <v>6</v>
      </c>
      <c r="Y52" s="33" t="s">
        <v>6</v>
      </c>
      <c r="Z52" s="33" t="s">
        <v>6</v>
      </c>
      <c r="AA52" s="33" t="s">
        <v>6</v>
      </c>
      <c r="AB52" s="33" t="s">
        <v>25</v>
      </c>
      <c r="AC52" s="33" t="s">
        <v>6</v>
      </c>
      <c r="AD52" s="33" t="s">
        <v>6</v>
      </c>
      <c r="AE52" s="33" t="s">
        <v>6</v>
      </c>
      <c r="AF52" s="33" t="s">
        <v>6</v>
      </c>
      <c r="AG52" s="33" t="s">
        <v>6</v>
      </c>
      <c r="AH52" s="33" t="s">
        <v>6</v>
      </c>
      <c r="AI52" s="33" t="s">
        <v>25</v>
      </c>
      <c r="AJ52" s="33">
        <f t="shared" si="1"/>
        <v>24</v>
      </c>
      <c r="AK52" s="33">
        <f t="shared" si="2"/>
        <v>0</v>
      </c>
      <c r="AL52" s="33">
        <f t="shared" si="3"/>
        <v>0</v>
      </c>
      <c r="AM52" s="33">
        <f t="shared" si="4"/>
        <v>1</v>
      </c>
      <c r="AN52" s="33">
        <f t="shared" si="5"/>
        <v>1</v>
      </c>
      <c r="AO52" s="33">
        <f t="shared" si="6"/>
        <v>0</v>
      </c>
      <c r="AP52" s="33">
        <f t="shared" si="7"/>
        <v>0</v>
      </c>
      <c r="AQ52" s="33">
        <f t="shared" si="8"/>
        <v>0</v>
      </c>
      <c r="AR52" s="33">
        <v>1.0</v>
      </c>
      <c r="AS52" s="33">
        <f t="shared" si="9"/>
        <v>0</v>
      </c>
      <c r="AT52" s="33">
        <v>2.0</v>
      </c>
      <c r="AU52" s="33">
        <f t="shared" si="10"/>
        <v>0</v>
      </c>
      <c r="AV52" s="33">
        <v>2.0</v>
      </c>
      <c r="AW52" s="34">
        <f t="shared" si="11"/>
        <v>26</v>
      </c>
      <c r="AX52" s="34">
        <f t="shared" si="12"/>
        <v>26</v>
      </c>
      <c r="AY52" s="24"/>
    </row>
    <row r="53" ht="15.75" customHeight="1">
      <c r="A53" s="3"/>
      <c r="B53" s="18" t="s">
        <v>114</v>
      </c>
      <c r="C53" s="29" t="s">
        <v>115</v>
      </c>
      <c r="D53" s="35" t="s">
        <v>24</v>
      </c>
      <c r="E53" s="36" t="s">
        <v>6</v>
      </c>
      <c r="F53" s="36" t="s">
        <v>6</v>
      </c>
      <c r="G53" s="36" t="s">
        <v>25</v>
      </c>
      <c r="H53" s="36" t="s">
        <v>6</v>
      </c>
      <c r="I53" s="36" t="s">
        <v>6</v>
      </c>
      <c r="J53" s="36" t="s">
        <v>6</v>
      </c>
      <c r="K53" s="36" t="s">
        <v>6</v>
      </c>
      <c r="L53" s="36" t="s">
        <v>9</v>
      </c>
      <c r="M53" s="36" t="s">
        <v>10</v>
      </c>
      <c r="N53" s="36" t="s">
        <v>25</v>
      </c>
      <c r="O53" s="36" t="s">
        <v>6</v>
      </c>
      <c r="P53" s="36" t="s">
        <v>6</v>
      </c>
      <c r="Q53" s="36" t="s">
        <v>6</v>
      </c>
      <c r="R53" s="36" t="s">
        <v>6</v>
      </c>
      <c r="S53" s="36" t="s">
        <v>6</v>
      </c>
      <c r="T53" s="36" t="s">
        <v>6</v>
      </c>
      <c r="U53" s="36" t="s">
        <v>25</v>
      </c>
      <c r="V53" s="36" t="s">
        <v>6</v>
      </c>
      <c r="W53" s="36" t="s">
        <v>6</v>
      </c>
      <c r="X53" s="36" t="s">
        <v>6</v>
      </c>
      <c r="Y53" s="36" t="s">
        <v>6</v>
      </c>
      <c r="Z53" s="36" t="s">
        <v>6</v>
      </c>
      <c r="AA53" s="36" t="s">
        <v>6</v>
      </c>
      <c r="AB53" s="36" t="s">
        <v>25</v>
      </c>
      <c r="AC53" s="36" t="s">
        <v>6</v>
      </c>
      <c r="AD53" s="36" t="s">
        <v>6</v>
      </c>
      <c r="AE53" s="36" t="s">
        <v>6</v>
      </c>
      <c r="AF53" s="36" t="s">
        <v>6</v>
      </c>
      <c r="AG53" s="36" t="s">
        <v>6</v>
      </c>
      <c r="AH53" s="36" t="s">
        <v>6</v>
      </c>
      <c r="AI53" s="36" t="s">
        <v>25</v>
      </c>
      <c r="AJ53" s="36">
        <f t="shared" si="1"/>
        <v>24</v>
      </c>
      <c r="AK53" s="36">
        <f t="shared" si="2"/>
        <v>0</v>
      </c>
      <c r="AL53" s="36">
        <f t="shared" si="3"/>
        <v>0</v>
      </c>
      <c r="AM53" s="36">
        <f t="shared" si="4"/>
        <v>1</v>
      </c>
      <c r="AN53" s="36">
        <f t="shared" si="5"/>
        <v>1</v>
      </c>
      <c r="AO53" s="36">
        <f t="shared" si="6"/>
        <v>0</v>
      </c>
      <c r="AP53" s="36">
        <f t="shared" si="7"/>
        <v>0</v>
      </c>
      <c r="AQ53" s="36">
        <f t="shared" si="8"/>
        <v>0</v>
      </c>
      <c r="AR53" s="36">
        <v>1.0</v>
      </c>
      <c r="AS53" s="36">
        <f t="shared" si="9"/>
        <v>0</v>
      </c>
      <c r="AT53" s="36">
        <v>2.0</v>
      </c>
      <c r="AU53" s="36">
        <f t="shared" si="10"/>
        <v>0</v>
      </c>
      <c r="AV53" s="36">
        <v>2.0</v>
      </c>
      <c r="AW53" s="37">
        <f t="shared" si="11"/>
        <v>26</v>
      </c>
      <c r="AX53" s="37">
        <f t="shared" si="12"/>
        <v>26</v>
      </c>
      <c r="AY53" s="18"/>
    </row>
    <row r="54" ht="15.75" customHeight="1">
      <c r="A54" s="3"/>
      <c r="B54" s="24" t="s">
        <v>116</v>
      </c>
      <c r="C54" s="31" t="s">
        <v>117</v>
      </c>
      <c r="D54" s="32" t="s">
        <v>24</v>
      </c>
      <c r="E54" s="33" t="s">
        <v>6</v>
      </c>
      <c r="F54" s="33" t="s">
        <v>6</v>
      </c>
      <c r="G54" s="33" t="s">
        <v>25</v>
      </c>
      <c r="H54" s="33" t="s">
        <v>6</v>
      </c>
      <c r="I54" s="33" t="s">
        <v>6</v>
      </c>
      <c r="J54" s="33" t="s">
        <v>6</v>
      </c>
      <c r="K54" s="33" t="s">
        <v>6</v>
      </c>
      <c r="L54" s="33" t="s">
        <v>9</v>
      </c>
      <c r="M54" s="33" t="s">
        <v>10</v>
      </c>
      <c r="N54" s="33" t="s">
        <v>25</v>
      </c>
      <c r="O54" s="33" t="s">
        <v>6</v>
      </c>
      <c r="P54" s="33" t="s">
        <v>6</v>
      </c>
      <c r="Q54" s="33" t="s">
        <v>6</v>
      </c>
      <c r="R54" s="33" t="s">
        <v>6</v>
      </c>
      <c r="S54" s="33" t="s">
        <v>6</v>
      </c>
      <c r="T54" s="33" t="s">
        <v>6</v>
      </c>
      <c r="U54" s="33" t="s">
        <v>25</v>
      </c>
      <c r="V54" s="33" t="s">
        <v>6</v>
      </c>
      <c r="W54" s="33" t="s">
        <v>6</v>
      </c>
      <c r="X54" s="33" t="s">
        <v>6</v>
      </c>
      <c r="Y54" s="33" t="s">
        <v>6</v>
      </c>
      <c r="Z54" s="33" t="s">
        <v>6</v>
      </c>
      <c r="AA54" s="33" t="s">
        <v>6</v>
      </c>
      <c r="AB54" s="33" t="s">
        <v>25</v>
      </c>
      <c r="AC54" s="33" t="s">
        <v>6</v>
      </c>
      <c r="AD54" s="33" t="s">
        <v>6</v>
      </c>
      <c r="AE54" s="33" t="s">
        <v>6</v>
      </c>
      <c r="AF54" s="33" t="s">
        <v>6</v>
      </c>
      <c r="AG54" s="33" t="s">
        <v>6</v>
      </c>
      <c r="AH54" s="33" t="s">
        <v>6</v>
      </c>
      <c r="AI54" s="33" t="s">
        <v>25</v>
      </c>
      <c r="AJ54" s="33">
        <f t="shared" si="1"/>
        <v>24</v>
      </c>
      <c r="AK54" s="33">
        <f t="shared" si="2"/>
        <v>0</v>
      </c>
      <c r="AL54" s="33">
        <f t="shared" si="3"/>
        <v>0</v>
      </c>
      <c r="AM54" s="33">
        <f t="shared" si="4"/>
        <v>1</v>
      </c>
      <c r="AN54" s="33">
        <f t="shared" si="5"/>
        <v>1</v>
      </c>
      <c r="AO54" s="33">
        <f t="shared" si="6"/>
        <v>0</v>
      </c>
      <c r="AP54" s="33">
        <f t="shared" si="7"/>
        <v>0</v>
      </c>
      <c r="AQ54" s="33">
        <f t="shared" si="8"/>
        <v>0</v>
      </c>
      <c r="AR54" s="33">
        <v>1.0</v>
      </c>
      <c r="AS54" s="33">
        <f t="shared" si="9"/>
        <v>0</v>
      </c>
      <c r="AT54" s="33">
        <v>2.0</v>
      </c>
      <c r="AU54" s="33">
        <f t="shared" si="10"/>
        <v>0</v>
      </c>
      <c r="AV54" s="33">
        <v>2.0</v>
      </c>
      <c r="AW54" s="34">
        <f t="shared" si="11"/>
        <v>26</v>
      </c>
      <c r="AX54" s="34">
        <f t="shared" si="12"/>
        <v>26</v>
      </c>
      <c r="AY54" s="24"/>
    </row>
    <row r="55" ht="15.75" customHeight="1">
      <c r="A55" s="3"/>
      <c r="B55" s="18" t="s">
        <v>118</v>
      </c>
      <c r="C55" s="29" t="s">
        <v>119</v>
      </c>
      <c r="D55" s="35" t="s">
        <v>24</v>
      </c>
      <c r="E55" s="36" t="s">
        <v>6</v>
      </c>
      <c r="F55" s="36" t="s">
        <v>6</v>
      </c>
      <c r="G55" s="36" t="s">
        <v>25</v>
      </c>
      <c r="H55" s="36" t="s">
        <v>6</v>
      </c>
      <c r="I55" s="36" t="s">
        <v>6</v>
      </c>
      <c r="J55" s="36" t="s">
        <v>6</v>
      </c>
      <c r="K55" s="36" t="s">
        <v>6</v>
      </c>
      <c r="L55" s="36" t="s">
        <v>9</v>
      </c>
      <c r="M55" s="36" t="s">
        <v>10</v>
      </c>
      <c r="N55" s="36" t="s">
        <v>25</v>
      </c>
      <c r="O55" s="36" t="s">
        <v>6</v>
      </c>
      <c r="P55" s="36" t="s">
        <v>6</v>
      </c>
      <c r="Q55" s="36" t="s">
        <v>6</v>
      </c>
      <c r="R55" s="36" t="s">
        <v>6</v>
      </c>
      <c r="S55" s="36" t="s">
        <v>6</v>
      </c>
      <c r="T55" s="36" t="s">
        <v>6</v>
      </c>
      <c r="U55" s="36" t="s">
        <v>25</v>
      </c>
      <c r="V55" s="36" t="s">
        <v>6</v>
      </c>
      <c r="W55" s="36" t="s">
        <v>6</v>
      </c>
      <c r="X55" s="36" t="s">
        <v>6</v>
      </c>
      <c r="Y55" s="36" t="s">
        <v>6</v>
      </c>
      <c r="Z55" s="36" t="s">
        <v>6</v>
      </c>
      <c r="AA55" s="36" t="s">
        <v>6</v>
      </c>
      <c r="AB55" s="36" t="s">
        <v>25</v>
      </c>
      <c r="AC55" s="36" t="s">
        <v>6</v>
      </c>
      <c r="AD55" s="36" t="s">
        <v>6</v>
      </c>
      <c r="AE55" s="36" t="s">
        <v>6</v>
      </c>
      <c r="AF55" s="36" t="s">
        <v>6</v>
      </c>
      <c r="AG55" s="36" t="s">
        <v>6</v>
      </c>
      <c r="AH55" s="36" t="s">
        <v>6</v>
      </c>
      <c r="AI55" s="36" t="s">
        <v>25</v>
      </c>
      <c r="AJ55" s="36">
        <f t="shared" si="1"/>
        <v>24</v>
      </c>
      <c r="AK55" s="36">
        <f t="shared" si="2"/>
        <v>0</v>
      </c>
      <c r="AL55" s="36">
        <f t="shared" si="3"/>
        <v>0</v>
      </c>
      <c r="AM55" s="36">
        <f t="shared" si="4"/>
        <v>1</v>
      </c>
      <c r="AN55" s="36">
        <f t="shared" si="5"/>
        <v>1</v>
      </c>
      <c r="AO55" s="36">
        <f t="shared" si="6"/>
        <v>0</v>
      </c>
      <c r="AP55" s="36">
        <f t="shared" si="7"/>
        <v>0</v>
      </c>
      <c r="AQ55" s="36">
        <f t="shared" si="8"/>
        <v>0</v>
      </c>
      <c r="AR55" s="36">
        <v>1.0</v>
      </c>
      <c r="AS55" s="36">
        <f t="shared" si="9"/>
        <v>0</v>
      </c>
      <c r="AT55" s="36">
        <v>2.0</v>
      </c>
      <c r="AU55" s="36">
        <f t="shared" si="10"/>
        <v>0</v>
      </c>
      <c r="AV55" s="36">
        <v>2.0</v>
      </c>
      <c r="AW55" s="37">
        <f t="shared" si="11"/>
        <v>26</v>
      </c>
      <c r="AX55" s="37">
        <f t="shared" si="12"/>
        <v>26</v>
      </c>
      <c r="AY55" s="18"/>
    </row>
    <row r="56" ht="15.75" customHeight="1">
      <c r="A56" s="3"/>
      <c r="B56" s="24" t="s">
        <v>120</v>
      </c>
      <c r="C56" s="31" t="s">
        <v>121</v>
      </c>
      <c r="D56" s="32" t="s">
        <v>24</v>
      </c>
      <c r="E56" s="33" t="s">
        <v>6</v>
      </c>
      <c r="F56" s="33" t="s">
        <v>6</v>
      </c>
      <c r="G56" s="33" t="s">
        <v>25</v>
      </c>
      <c r="H56" s="33" t="s">
        <v>6</v>
      </c>
      <c r="I56" s="33" t="s">
        <v>6</v>
      </c>
      <c r="J56" s="33" t="s">
        <v>6</v>
      </c>
      <c r="K56" s="33" t="s">
        <v>6</v>
      </c>
      <c r="L56" s="33" t="s">
        <v>9</v>
      </c>
      <c r="M56" s="33" t="s">
        <v>10</v>
      </c>
      <c r="N56" s="33" t="s">
        <v>25</v>
      </c>
      <c r="O56" s="33" t="s">
        <v>6</v>
      </c>
      <c r="P56" s="33" t="s">
        <v>6</v>
      </c>
      <c r="Q56" s="33" t="s">
        <v>6</v>
      </c>
      <c r="R56" s="33" t="s">
        <v>6</v>
      </c>
      <c r="S56" s="33" t="s">
        <v>6</v>
      </c>
      <c r="T56" s="33" t="s">
        <v>6</v>
      </c>
      <c r="U56" s="33" t="s">
        <v>25</v>
      </c>
      <c r="V56" s="33" t="s">
        <v>6</v>
      </c>
      <c r="W56" s="33" t="s">
        <v>6</v>
      </c>
      <c r="X56" s="33" t="s">
        <v>6</v>
      </c>
      <c r="Y56" s="33" t="s">
        <v>6</v>
      </c>
      <c r="Z56" s="33" t="s">
        <v>6</v>
      </c>
      <c r="AA56" s="33" t="s">
        <v>6</v>
      </c>
      <c r="AB56" s="33" t="s">
        <v>25</v>
      </c>
      <c r="AC56" s="33" t="s">
        <v>6</v>
      </c>
      <c r="AD56" s="33" t="s">
        <v>6</v>
      </c>
      <c r="AE56" s="33" t="s">
        <v>6</v>
      </c>
      <c r="AF56" s="33" t="s">
        <v>6</v>
      </c>
      <c r="AG56" s="33" t="s">
        <v>6</v>
      </c>
      <c r="AH56" s="33" t="s">
        <v>6</v>
      </c>
      <c r="AI56" s="33" t="s">
        <v>25</v>
      </c>
      <c r="AJ56" s="33">
        <f t="shared" si="1"/>
        <v>24</v>
      </c>
      <c r="AK56" s="33">
        <f t="shared" si="2"/>
        <v>0</v>
      </c>
      <c r="AL56" s="33">
        <f t="shared" si="3"/>
        <v>0</v>
      </c>
      <c r="AM56" s="33">
        <f t="shared" si="4"/>
        <v>1</v>
      </c>
      <c r="AN56" s="33">
        <f t="shared" si="5"/>
        <v>1</v>
      </c>
      <c r="AO56" s="33">
        <f t="shared" si="6"/>
        <v>0</v>
      </c>
      <c r="AP56" s="33">
        <f t="shared" si="7"/>
        <v>0</v>
      </c>
      <c r="AQ56" s="33">
        <f t="shared" si="8"/>
        <v>0</v>
      </c>
      <c r="AR56" s="33">
        <v>1.0</v>
      </c>
      <c r="AS56" s="33">
        <f t="shared" si="9"/>
        <v>0</v>
      </c>
      <c r="AT56" s="33">
        <v>2.0</v>
      </c>
      <c r="AU56" s="33">
        <f t="shared" si="10"/>
        <v>0</v>
      </c>
      <c r="AV56" s="33">
        <v>2.0</v>
      </c>
      <c r="AW56" s="34">
        <f t="shared" si="11"/>
        <v>26</v>
      </c>
      <c r="AX56" s="34">
        <f t="shared" si="12"/>
        <v>26</v>
      </c>
      <c r="AY56" s="24"/>
    </row>
    <row r="57" ht="15.75" customHeight="1">
      <c r="A57" s="3"/>
      <c r="B57" s="18" t="s">
        <v>122</v>
      </c>
      <c r="C57" s="29" t="s">
        <v>123</v>
      </c>
      <c r="D57" s="35" t="s">
        <v>24</v>
      </c>
      <c r="E57" s="36" t="s">
        <v>6</v>
      </c>
      <c r="F57" s="36" t="s">
        <v>6</v>
      </c>
      <c r="G57" s="36" t="s">
        <v>25</v>
      </c>
      <c r="H57" s="36" t="s">
        <v>6</v>
      </c>
      <c r="I57" s="36" t="s">
        <v>6</v>
      </c>
      <c r="J57" s="36" t="s">
        <v>6</v>
      </c>
      <c r="K57" s="36" t="s">
        <v>6</v>
      </c>
      <c r="L57" s="36" t="s">
        <v>9</v>
      </c>
      <c r="M57" s="36" t="s">
        <v>10</v>
      </c>
      <c r="N57" s="36" t="s">
        <v>25</v>
      </c>
      <c r="O57" s="36" t="s">
        <v>6</v>
      </c>
      <c r="P57" s="36" t="s">
        <v>6</v>
      </c>
      <c r="Q57" s="36" t="s">
        <v>6</v>
      </c>
      <c r="R57" s="36" t="s">
        <v>6</v>
      </c>
      <c r="S57" s="36" t="s">
        <v>6</v>
      </c>
      <c r="T57" s="36" t="s">
        <v>6</v>
      </c>
      <c r="U57" s="36" t="s">
        <v>25</v>
      </c>
      <c r="V57" s="36" t="s">
        <v>6</v>
      </c>
      <c r="W57" s="36" t="s">
        <v>6</v>
      </c>
      <c r="X57" s="36" t="s">
        <v>6</v>
      </c>
      <c r="Y57" s="36" t="s">
        <v>6</v>
      </c>
      <c r="Z57" s="36" t="s">
        <v>6</v>
      </c>
      <c r="AA57" s="36" t="s">
        <v>6</v>
      </c>
      <c r="AB57" s="36" t="s">
        <v>25</v>
      </c>
      <c r="AC57" s="36" t="s">
        <v>6</v>
      </c>
      <c r="AD57" s="36" t="s">
        <v>6</v>
      </c>
      <c r="AE57" s="36" t="s">
        <v>6</v>
      </c>
      <c r="AF57" s="36" t="s">
        <v>6</v>
      </c>
      <c r="AG57" s="36" t="s">
        <v>6</v>
      </c>
      <c r="AH57" s="36" t="s">
        <v>6</v>
      </c>
      <c r="AI57" s="36" t="s">
        <v>25</v>
      </c>
      <c r="AJ57" s="36">
        <f t="shared" si="1"/>
        <v>24</v>
      </c>
      <c r="AK57" s="36">
        <f t="shared" si="2"/>
        <v>0</v>
      </c>
      <c r="AL57" s="36">
        <f t="shared" si="3"/>
        <v>0</v>
      </c>
      <c r="AM57" s="36">
        <f t="shared" si="4"/>
        <v>1</v>
      </c>
      <c r="AN57" s="36">
        <f t="shared" si="5"/>
        <v>1</v>
      </c>
      <c r="AO57" s="36">
        <f t="shared" si="6"/>
        <v>0</v>
      </c>
      <c r="AP57" s="36">
        <f t="shared" si="7"/>
        <v>0</v>
      </c>
      <c r="AQ57" s="36">
        <f t="shared" si="8"/>
        <v>0</v>
      </c>
      <c r="AR57" s="36">
        <v>1.0</v>
      </c>
      <c r="AS57" s="36">
        <f t="shared" si="9"/>
        <v>0</v>
      </c>
      <c r="AT57" s="36">
        <v>2.0</v>
      </c>
      <c r="AU57" s="36">
        <f t="shared" si="10"/>
        <v>0</v>
      </c>
      <c r="AV57" s="36">
        <v>2.0</v>
      </c>
      <c r="AW57" s="37">
        <f t="shared" si="11"/>
        <v>26</v>
      </c>
      <c r="AX57" s="37">
        <f t="shared" si="12"/>
        <v>26</v>
      </c>
      <c r="AY57" s="18"/>
    </row>
    <row r="58" ht="15.75" customHeight="1">
      <c r="A58" s="38"/>
      <c r="B58" s="24" t="s">
        <v>22</v>
      </c>
      <c r="C58" s="31" t="s">
        <v>23</v>
      </c>
      <c r="D58" s="32" t="s">
        <v>124</v>
      </c>
      <c r="E58" s="33" t="s">
        <v>6</v>
      </c>
      <c r="F58" s="33" t="s">
        <v>7</v>
      </c>
      <c r="G58" s="33" t="s">
        <v>6</v>
      </c>
      <c r="H58" s="33" t="s">
        <v>8</v>
      </c>
      <c r="I58" s="33" t="s">
        <v>15</v>
      </c>
      <c r="J58" s="33" t="s">
        <v>17</v>
      </c>
      <c r="K58" s="33" t="s">
        <v>25</v>
      </c>
      <c r="L58" s="33" t="s">
        <v>9</v>
      </c>
      <c r="M58" s="33" t="s">
        <v>10</v>
      </c>
      <c r="N58" s="33" t="s">
        <v>6</v>
      </c>
      <c r="O58" s="33" t="s">
        <v>12</v>
      </c>
      <c r="P58" s="33" t="s">
        <v>13</v>
      </c>
      <c r="Q58" s="33" t="s">
        <v>6</v>
      </c>
      <c r="R58" s="33" t="s">
        <v>25</v>
      </c>
      <c r="S58" s="33" t="s">
        <v>6</v>
      </c>
      <c r="T58" s="33" t="s">
        <v>6</v>
      </c>
      <c r="U58" s="33" t="s">
        <v>6</v>
      </c>
      <c r="V58" s="33" t="s">
        <v>6</v>
      </c>
      <c r="W58" s="33" t="s">
        <v>6</v>
      </c>
      <c r="X58" s="33" t="s">
        <v>6</v>
      </c>
      <c r="Y58" s="33" t="s">
        <v>25</v>
      </c>
      <c r="Z58" s="33" t="s">
        <v>6</v>
      </c>
      <c r="AA58" s="33" t="s">
        <v>6</v>
      </c>
      <c r="AB58" s="33" t="s">
        <v>6</v>
      </c>
      <c r="AC58" s="33" t="s">
        <v>6</v>
      </c>
      <c r="AD58" s="33" t="s">
        <v>6</v>
      </c>
      <c r="AE58" s="33" t="s">
        <v>6</v>
      </c>
      <c r="AF58" s="33" t="s">
        <v>25</v>
      </c>
      <c r="AG58" s="33"/>
      <c r="AH58" s="33"/>
      <c r="AI58" s="33"/>
      <c r="AJ58" s="33">
        <f t="shared" si="1"/>
        <v>16</v>
      </c>
      <c r="AK58" s="33">
        <f t="shared" si="2"/>
        <v>1</v>
      </c>
      <c r="AL58" s="33">
        <f t="shared" si="3"/>
        <v>1</v>
      </c>
      <c r="AM58" s="33">
        <f t="shared" si="4"/>
        <v>1</v>
      </c>
      <c r="AN58" s="33">
        <f t="shared" si="5"/>
        <v>1</v>
      </c>
      <c r="AO58" s="33">
        <f t="shared" si="6"/>
        <v>0</v>
      </c>
      <c r="AP58" s="33">
        <f t="shared" si="7"/>
        <v>1</v>
      </c>
      <c r="AQ58" s="33">
        <f t="shared" si="8"/>
        <v>1</v>
      </c>
      <c r="AR58" s="33">
        <v>1.0</v>
      </c>
      <c r="AS58" s="33">
        <f t="shared" si="9"/>
        <v>1</v>
      </c>
      <c r="AT58" s="33">
        <v>2.0</v>
      </c>
      <c r="AU58" s="33">
        <f t="shared" si="10"/>
        <v>1</v>
      </c>
      <c r="AV58" s="33">
        <v>2.0</v>
      </c>
      <c r="AW58" s="34">
        <f t="shared" si="11"/>
        <v>24</v>
      </c>
      <c r="AX58" s="34">
        <f t="shared" si="12"/>
        <v>23</v>
      </c>
      <c r="AY58" s="33"/>
    </row>
    <row r="59" ht="15.75" customHeight="1">
      <c r="A59" s="38"/>
      <c r="B59" s="18" t="s">
        <v>26</v>
      </c>
      <c r="C59" s="29" t="s">
        <v>27</v>
      </c>
      <c r="D59" s="35" t="s">
        <v>124</v>
      </c>
      <c r="E59" s="36" t="s">
        <v>6</v>
      </c>
      <c r="F59" s="36" t="s">
        <v>6</v>
      </c>
      <c r="G59" s="36" t="s">
        <v>6</v>
      </c>
      <c r="H59" s="36" t="s">
        <v>7</v>
      </c>
      <c r="I59" s="36" t="s">
        <v>6</v>
      </c>
      <c r="J59" s="36" t="s">
        <v>6</v>
      </c>
      <c r="K59" s="36" t="s">
        <v>25</v>
      </c>
      <c r="L59" s="36" t="s">
        <v>9</v>
      </c>
      <c r="M59" s="36" t="s">
        <v>10</v>
      </c>
      <c r="N59" s="36" t="s">
        <v>6</v>
      </c>
      <c r="O59" s="36" t="s">
        <v>6</v>
      </c>
      <c r="P59" s="36" t="s">
        <v>6</v>
      </c>
      <c r="Q59" s="36" t="s">
        <v>6</v>
      </c>
      <c r="R59" s="36" t="s">
        <v>25</v>
      </c>
      <c r="S59" s="36" t="s">
        <v>6</v>
      </c>
      <c r="T59" s="36" t="s">
        <v>6</v>
      </c>
      <c r="U59" s="36" t="s">
        <v>6</v>
      </c>
      <c r="V59" s="36" t="s">
        <v>6</v>
      </c>
      <c r="W59" s="36" t="s">
        <v>6</v>
      </c>
      <c r="X59" s="36" t="s">
        <v>6</v>
      </c>
      <c r="Y59" s="36" t="s">
        <v>25</v>
      </c>
      <c r="Z59" s="36" t="s">
        <v>6</v>
      </c>
      <c r="AA59" s="36" t="s">
        <v>6</v>
      </c>
      <c r="AB59" s="36" t="s">
        <v>6</v>
      </c>
      <c r="AC59" s="36" t="s">
        <v>6</v>
      </c>
      <c r="AD59" s="36" t="s">
        <v>6</v>
      </c>
      <c r="AE59" s="36" t="s">
        <v>6</v>
      </c>
      <c r="AF59" s="36" t="s">
        <v>25</v>
      </c>
      <c r="AG59" s="36"/>
      <c r="AH59" s="36"/>
      <c r="AI59" s="36"/>
      <c r="AJ59" s="36">
        <f t="shared" si="1"/>
        <v>21</v>
      </c>
      <c r="AK59" s="36">
        <f t="shared" si="2"/>
        <v>1</v>
      </c>
      <c r="AL59" s="36">
        <f t="shared" si="3"/>
        <v>0</v>
      </c>
      <c r="AM59" s="36">
        <f t="shared" si="4"/>
        <v>1</v>
      </c>
      <c r="AN59" s="36">
        <f t="shared" si="5"/>
        <v>1</v>
      </c>
      <c r="AO59" s="36">
        <f t="shared" si="6"/>
        <v>0</v>
      </c>
      <c r="AP59" s="36">
        <f t="shared" si="7"/>
        <v>0</v>
      </c>
      <c r="AQ59" s="36">
        <f t="shared" si="8"/>
        <v>0</v>
      </c>
      <c r="AR59" s="36">
        <v>1.0</v>
      </c>
      <c r="AS59" s="36">
        <f t="shared" si="9"/>
        <v>0</v>
      </c>
      <c r="AT59" s="36">
        <v>2.0</v>
      </c>
      <c r="AU59" s="36">
        <f t="shared" si="10"/>
        <v>0</v>
      </c>
      <c r="AV59" s="36">
        <v>2.0</v>
      </c>
      <c r="AW59" s="37">
        <f t="shared" si="11"/>
        <v>24</v>
      </c>
      <c r="AX59" s="37">
        <f t="shared" si="12"/>
        <v>23</v>
      </c>
      <c r="AY59" s="36"/>
    </row>
    <row r="60" ht="15.75" customHeight="1">
      <c r="A60" s="38"/>
      <c r="B60" s="24" t="s">
        <v>28</v>
      </c>
      <c r="C60" s="31" t="s">
        <v>29</v>
      </c>
      <c r="D60" s="32" t="s">
        <v>124</v>
      </c>
      <c r="E60" s="33" t="s">
        <v>6</v>
      </c>
      <c r="F60" s="33" t="s">
        <v>6</v>
      </c>
      <c r="G60" s="33" t="s">
        <v>6</v>
      </c>
      <c r="H60" s="33" t="s">
        <v>6</v>
      </c>
      <c r="I60" s="33" t="s">
        <v>6</v>
      </c>
      <c r="J60" s="33" t="s">
        <v>6</v>
      </c>
      <c r="K60" s="33" t="s">
        <v>25</v>
      </c>
      <c r="L60" s="33" t="s">
        <v>9</v>
      </c>
      <c r="M60" s="33" t="s">
        <v>10</v>
      </c>
      <c r="N60" s="33" t="s">
        <v>6</v>
      </c>
      <c r="O60" s="33" t="s">
        <v>6</v>
      </c>
      <c r="P60" s="33" t="s">
        <v>6</v>
      </c>
      <c r="Q60" s="33" t="s">
        <v>6</v>
      </c>
      <c r="R60" s="33" t="s">
        <v>25</v>
      </c>
      <c r="S60" s="33" t="s">
        <v>6</v>
      </c>
      <c r="T60" s="33" t="s">
        <v>6</v>
      </c>
      <c r="U60" s="33" t="s">
        <v>6</v>
      </c>
      <c r="V60" s="33" t="s">
        <v>6</v>
      </c>
      <c r="W60" s="33" t="s">
        <v>8</v>
      </c>
      <c r="X60" s="33" t="s">
        <v>6</v>
      </c>
      <c r="Y60" s="33" t="s">
        <v>25</v>
      </c>
      <c r="Z60" s="33" t="s">
        <v>6</v>
      </c>
      <c r="AA60" s="33" t="s">
        <v>6</v>
      </c>
      <c r="AB60" s="33" t="s">
        <v>6</v>
      </c>
      <c r="AC60" s="33" t="s">
        <v>6</v>
      </c>
      <c r="AD60" s="33" t="s">
        <v>6</v>
      </c>
      <c r="AE60" s="33" t="s">
        <v>6</v>
      </c>
      <c r="AF60" s="33" t="s">
        <v>25</v>
      </c>
      <c r="AG60" s="33"/>
      <c r="AH60" s="33"/>
      <c r="AI60" s="33"/>
      <c r="AJ60" s="33">
        <f t="shared" si="1"/>
        <v>21</v>
      </c>
      <c r="AK60" s="33">
        <f t="shared" si="2"/>
        <v>0</v>
      </c>
      <c r="AL60" s="33">
        <f t="shared" si="3"/>
        <v>1</v>
      </c>
      <c r="AM60" s="33">
        <f t="shared" si="4"/>
        <v>1</v>
      </c>
      <c r="AN60" s="33">
        <f t="shared" si="5"/>
        <v>1</v>
      </c>
      <c r="AO60" s="33">
        <f t="shared" si="6"/>
        <v>0</v>
      </c>
      <c r="AP60" s="33">
        <f t="shared" si="7"/>
        <v>0</v>
      </c>
      <c r="AQ60" s="33">
        <f t="shared" si="8"/>
        <v>0</v>
      </c>
      <c r="AR60" s="33">
        <v>1.0</v>
      </c>
      <c r="AS60" s="33">
        <f t="shared" si="9"/>
        <v>0</v>
      </c>
      <c r="AT60" s="33">
        <v>2.0</v>
      </c>
      <c r="AU60" s="33">
        <f t="shared" si="10"/>
        <v>0</v>
      </c>
      <c r="AV60" s="33">
        <v>2.0</v>
      </c>
      <c r="AW60" s="34">
        <f t="shared" si="11"/>
        <v>24</v>
      </c>
      <c r="AX60" s="34">
        <f t="shared" si="12"/>
        <v>24</v>
      </c>
      <c r="AY60" s="33"/>
    </row>
    <row r="61" ht="15.75" customHeight="1">
      <c r="A61" s="38"/>
      <c r="B61" s="18" t="s">
        <v>30</v>
      </c>
      <c r="C61" s="29" t="s">
        <v>31</v>
      </c>
      <c r="D61" s="35" t="s">
        <v>124</v>
      </c>
      <c r="E61" s="36" t="s">
        <v>6</v>
      </c>
      <c r="F61" s="36" t="s">
        <v>6</v>
      </c>
      <c r="G61" s="36" t="s">
        <v>6</v>
      </c>
      <c r="H61" s="36" t="s">
        <v>6</v>
      </c>
      <c r="I61" s="36" t="s">
        <v>6</v>
      </c>
      <c r="J61" s="36" t="s">
        <v>8</v>
      </c>
      <c r="K61" s="36" t="s">
        <v>25</v>
      </c>
      <c r="L61" s="36" t="s">
        <v>9</v>
      </c>
      <c r="M61" s="36" t="s">
        <v>10</v>
      </c>
      <c r="N61" s="36" t="s">
        <v>6</v>
      </c>
      <c r="O61" s="36" t="s">
        <v>6</v>
      </c>
      <c r="P61" s="36" t="s">
        <v>6</v>
      </c>
      <c r="Q61" s="36" t="s">
        <v>6</v>
      </c>
      <c r="R61" s="36" t="s">
        <v>25</v>
      </c>
      <c r="S61" s="36" t="s">
        <v>17</v>
      </c>
      <c r="T61" s="36" t="s">
        <v>6</v>
      </c>
      <c r="U61" s="36" t="s">
        <v>6</v>
      </c>
      <c r="V61" s="36" t="s">
        <v>6</v>
      </c>
      <c r="W61" s="36" t="s">
        <v>6</v>
      </c>
      <c r="X61" s="36" t="s">
        <v>6</v>
      </c>
      <c r="Y61" s="36" t="s">
        <v>25</v>
      </c>
      <c r="Z61" s="36" t="s">
        <v>6</v>
      </c>
      <c r="AA61" s="36" t="s">
        <v>6</v>
      </c>
      <c r="AB61" s="36" t="s">
        <v>6</v>
      </c>
      <c r="AC61" s="36" t="s">
        <v>6</v>
      </c>
      <c r="AD61" s="36" t="s">
        <v>6</v>
      </c>
      <c r="AE61" s="36" t="s">
        <v>17</v>
      </c>
      <c r="AF61" s="36" t="s">
        <v>25</v>
      </c>
      <c r="AG61" s="36"/>
      <c r="AH61" s="36"/>
      <c r="AI61" s="36"/>
      <c r="AJ61" s="36">
        <f t="shared" si="1"/>
        <v>19</v>
      </c>
      <c r="AK61" s="36">
        <f t="shared" si="2"/>
        <v>0</v>
      </c>
      <c r="AL61" s="36">
        <f t="shared" si="3"/>
        <v>1</v>
      </c>
      <c r="AM61" s="36">
        <f t="shared" si="4"/>
        <v>1</v>
      </c>
      <c r="AN61" s="36">
        <f t="shared" si="5"/>
        <v>1</v>
      </c>
      <c r="AO61" s="36">
        <f t="shared" si="6"/>
        <v>0</v>
      </c>
      <c r="AP61" s="36">
        <f t="shared" si="7"/>
        <v>0</v>
      </c>
      <c r="AQ61" s="36">
        <f t="shared" si="8"/>
        <v>0</v>
      </c>
      <c r="AR61" s="36">
        <v>1.0</v>
      </c>
      <c r="AS61" s="36">
        <f t="shared" si="9"/>
        <v>0</v>
      </c>
      <c r="AT61" s="36">
        <v>2.0</v>
      </c>
      <c r="AU61" s="36">
        <f t="shared" si="10"/>
        <v>2</v>
      </c>
      <c r="AV61" s="36">
        <v>2.0</v>
      </c>
      <c r="AW61" s="37">
        <f t="shared" si="11"/>
        <v>24</v>
      </c>
      <c r="AX61" s="37">
        <f t="shared" si="12"/>
        <v>24</v>
      </c>
      <c r="AY61" s="36"/>
    </row>
    <row r="62" ht="15.75" customHeight="1">
      <c r="A62" s="38"/>
      <c r="B62" s="24" t="s">
        <v>32</v>
      </c>
      <c r="C62" s="31" t="s">
        <v>33</v>
      </c>
      <c r="D62" s="32" t="s">
        <v>124</v>
      </c>
      <c r="E62" s="33" t="s">
        <v>6</v>
      </c>
      <c r="F62" s="33" t="s">
        <v>6</v>
      </c>
      <c r="G62" s="33" t="s">
        <v>6</v>
      </c>
      <c r="H62" s="33" t="s">
        <v>6</v>
      </c>
      <c r="I62" s="33" t="s">
        <v>6</v>
      </c>
      <c r="J62" s="33" t="s">
        <v>6</v>
      </c>
      <c r="K62" s="33" t="s">
        <v>25</v>
      </c>
      <c r="L62" s="33" t="s">
        <v>9</v>
      </c>
      <c r="M62" s="33" t="s">
        <v>10</v>
      </c>
      <c r="N62" s="33" t="s">
        <v>6</v>
      </c>
      <c r="O62" s="33" t="s">
        <v>6</v>
      </c>
      <c r="P62" s="33" t="s">
        <v>6</v>
      </c>
      <c r="Q62" s="33" t="s">
        <v>6</v>
      </c>
      <c r="R62" s="33" t="s">
        <v>25</v>
      </c>
      <c r="S62" s="33" t="s">
        <v>6</v>
      </c>
      <c r="T62" s="33" t="s">
        <v>6</v>
      </c>
      <c r="U62" s="33" t="s">
        <v>6</v>
      </c>
      <c r="V62" s="33" t="s">
        <v>6</v>
      </c>
      <c r="W62" s="33" t="s">
        <v>6</v>
      </c>
      <c r="X62" s="33" t="s">
        <v>17</v>
      </c>
      <c r="Y62" s="33" t="s">
        <v>25</v>
      </c>
      <c r="Z62" s="33" t="s">
        <v>6</v>
      </c>
      <c r="AA62" s="33" t="s">
        <v>6</v>
      </c>
      <c r="AB62" s="33" t="s">
        <v>6</v>
      </c>
      <c r="AC62" s="33" t="s">
        <v>6</v>
      </c>
      <c r="AD62" s="33" t="s">
        <v>6</v>
      </c>
      <c r="AE62" s="33" t="s">
        <v>7</v>
      </c>
      <c r="AF62" s="33" t="s">
        <v>25</v>
      </c>
      <c r="AG62" s="33"/>
      <c r="AH62" s="33"/>
      <c r="AI62" s="33"/>
      <c r="AJ62" s="33">
        <f t="shared" si="1"/>
        <v>20</v>
      </c>
      <c r="AK62" s="33">
        <f t="shared" si="2"/>
        <v>1</v>
      </c>
      <c r="AL62" s="33">
        <f t="shared" si="3"/>
        <v>0</v>
      </c>
      <c r="AM62" s="33">
        <f t="shared" si="4"/>
        <v>1</v>
      </c>
      <c r="AN62" s="33">
        <f t="shared" si="5"/>
        <v>1</v>
      </c>
      <c r="AO62" s="33">
        <f t="shared" si="6"/>
        <v>0</v>
      </c>
      <c r="AP62" s="33">
        <f t="shared" si="7"/>
        <v>0</v>
      </c>
      <c r="AQ62" s="33">
        <f t="shared" si="8"/>
        <v>0</v>
      </c>
      <c r="AR62" s="33">
        <v>1.0</v>
      </c>
      <c r="AS62" s="33">
        <f t="shared" si="9"/>
        <v>0</v>
      </c>
      <c r="AT62" s="33">
        <v>2.0</v>
      </c>
      <c r="AU62" s="33">
        <f t="shared" si="10"/>
        <v>1</v>
      </c>
      <c r="AV62" s="33">
        <v>2.0</v>
      </c>
      <c r="AW62" s="34">
        <f t="shared" si="11"/>
        <v>24</v>
      </c>
      <c r="AX62" s="34">
        <f t="shared" si="12"/>
        <v>23</v>
      </c>
      <c r="AY62" s="33"/>
    </row>
    <row r="63" ht="15.75" customHeight="1">
      <c r="A63" s="38"/>
      <c r="B63" s="18" t="s">
        <v>34</v>
      </c>
      <c r="C63" s="29" t="s">
        <v>35</v>
      </c>
      <c r="D63" s="35" t="s">
        <v>124</v>
      </c>
      <c r="E63" s="36" t="s">
        <v>6</v>
      </c>
      <c r="F63" s="36" t="s">
        <v>6</v>
      </c>
      <c r="G63" s="36" t="s">
        <v>6</v>
      </c>
      <c r="H63" s="36" t="s">
        <v>6</v>
      </c>
      <c r="I63" s="36" t="s">
        <v>6</v>
      </c>
      <c r="J63" s="36" t="s">
        <v>6</v>
      </c>
      <c r="K63" s="36" t="s">
        <v>25</v>
      </c>
      <c r="L63" s="36" t="s">
        <v>9</v>
      </c>
      <c r="M63" s="36" t="s">
        <v>10</v>
      </c>
      <c r="N63" s="36" t="s">
        <v>6</v>
      </c>
      <c r="O63" s="36" t="s">
        <v>6</v>
      </c>
      <c r="P63" s="36" t="s">
        <v>6</v>
      </c>
      <c r="Q63" s="36" t="s">
        <v>6</v>
      </c>
      <c r="R63" s="36" t="s">
        <v>25</v>
      </c>
      <c r="S63" s="36" t="s">
        <v>6</v>
      </c>
      <c r="T63" s="36" t="s">
        <v>6</v>
      </c>
      <c r="U63" s="36" t="s">
        <v>6</v>
      </c>
      <c r="V63" s="36" t="s">
        <v>6</v>
      </c>
      <c r="W63" s="36" t="s">
        <v>6</v>
      </c>
      <c r="X63" s="36" t="s">
        <v>6</v>
      </c>
      <c r="Y63" s="36" t="s">
        <v>25</v>
      </c>
      <c r="Z63" s="36" t="s">
        <v>6</v>
      </c>
      <c r="AA63" s="36" t="s">
        <v>6</v>
      </c>
      <c r="AB63" s="36" t="s">
        <v>6</v>
      </c>
      <c r="AC63" s="36" t="s">
        <v>6</v>
      </c>
      <c r="AD63" s="36" t="s">
        <v>6</v>
      </c>
      <c r="AE63" s="36" t="s">
        <v>6</v>
      </c>
      <c r="AF63" s="36" t="s">
        <v>25</v>
      </c>
      <c r="AG63" s="36"/>
      <c r="AH63" s="36"/>
      <c r="AI63" s="36"/>
      <c r="AJ63" s="36">
        <f t="shared" si="1"/>
        <v>22</v>
      </c>
      <c r="AK63" s="36">
        <f t="shared" si="2"/>
        <v>0</v>
      </c>
      <c r="AL63" s="36">
        <f t="shared" si="3"/>
        <v>0</v>
      </c>
      <c r="AM63" s="36">
        <f t="shared" si="4"/>
        <v>1</v>
      </c>
      <c r="AN63" s="36">
        <f t="shared" si="5"/>
        <v>1</v>
      </c>
      <c r="AO63" s="36">
        <f t="shared" si="6"/>
        <v>0</v>
      </c>
      <c r="AP63" s="36">
        <f t="shared" si="7"/>
        <v>0</v>
      </c>
      <c r="AQ63" s="36">
        <f t="shared" si="8"/>
        <v>0</v>
      </c>
      <c r="AR63" s="36">
        <v>1.0</v>
      </c>
      <c r="AS63" s="36">
        <f t="shared" si="9"/>
        <v>0</v>
      </c>
      <c r="AT63" s="36">
        <v>2.0</v>
      </c>
      <c r="AU63" s="36">
        <f t="shared" si="10"/>
        <v>0</v>
      </c>
      <c r="AV63" s="36">
        <v>2.0</v>
      </c>
      <c r="AW63" s="37">
        <f t="shared" si="11"/>
        <v>24</v>
      </c>
      <c r="AX63" s="37">
        <f t="shared" si="12"/>
        <v>24</v>
      </c>
      <c r="AY63" s="36"/>
    </row>
    <row r="64" ht="15.75" customHeight="1">
      <c r="A64" s="38"/>
      <c r="B64" s="24" t="s">
        <v>36</v>
      </c>
      <c r="C64" s="31" t="s">
        <v>37</v>
      </c>
      <c r="D64" s="32" t="s">
        <v>124</v>
      </c>
      <c r="E64" s="33" t="s">
        <v>6</v>
      </c>
      <c r="F64" s="33" t="s">
        <v>6</v>
      </c>
      <c r="G64" s="33" t="s">
        <v>6</v>
      </c>
      <c r="H64" s="33" t="s">
        <v>6</v>
      </c>
      <c r="I64" s="33" t="s">
        <v>7</v>
      </c>
      <c r="J64" s="33" t="s">
        <v>6</v>
      </c>
      <c r="K64" s="33" t="s">
        <v>25</v>
      </c>
      <c r="L64" s="33" t="s">
        <v>9</v>
      </c>
      <c r="M64" s="33" t="s">
        <v>10</v>
      </c>
      <c r="N64" s="33" t="s">
        <v>6</v>
      </c>
      <c r="O64" s="33" t="s">
        <v>6</v>
      </c>
      <c r="P64" s="33" t="s">
        <v>6</v>
      </c>
      <c r="Q64" s="33" t="s">
        <v>6</v>
      </c>
      <c r="R64" s="33" t="s">
        <v>25</v>
      </c>
      <c r="S64" s="33" t="s">
        <v>6</v>
      </c>
      <c r="T64" s="33" t="s">
        <v>6</v>
      </c>
      <c r="U64" s="33" t="s">
        <v>6</v>
      </c>
      <c r="V64" s="33" t="s">
        <v>6</v>
      </c>
      <c r="W64" s="33" t="s">
        <v>6</v>
      </c>
      <c r="X64" s="33" t="s">
        <v>6</v>
      </c>
      <c r="Y64" s="33" t="s">
        <v>25</v>
      </c>
      <c r="Z64" s="33" t="s">
        <v>6</v>
      </c>
      <c r="AA64" s="33" t="s">
        <v>6</v>
      </c>
      <c r="AB64" s="33" t="s">
        <v>6</v>
      </c>
      <c r="AC64" s="33" t="s">
        <v>6</v>
      </c>
      <c r="AD64" s="33" t="s">
        <v>6</v>
      </c>
      <c r="AE64" s="33" t="s">
        <v>6</v>
      </c>
      <c r="AF64" s="33" t="s">
        <v>25</v>
      </c>
      <c r="AG64" s="33"/>
      <c r="AH64" s="33"/>
      <c r="AI64" s="33"/>
      <c r="AJ64" s="33">
        <f t="shared" si="1"/>
        <v>21</v>
      </c>
      <c r="AK64" s="33">
        <f t="shared" si="2"/>
        <v>1</v>
      </c>
      <c r="AL64" s="33">
        <f t="shared" si="3"/>
        <v>0</v>
      </c>
      <c r="AM64" s="33">
        <f t="shared" si="4"/>
        <v>1</v>
      </c>
      <c r="AN64" s="33">
        <f t="shared" si="5"/>
        <v>1</v>
      </c>
      <c r="AO64" s="33">
        <f t="shared" si="6"/>
        <v>0</v>
      </c>
      <c r="AP64" s="33">
        <f t="shared" si="7"/>
        <v>0</v>
      </c>
      <c r="AQ64" s="33">
        <f t="shared" si="8"/>
        <v>0</v>
      </c>
      <c r="AR64" s="33">
        <v>1.0</v>
      </c>
      <c r="AS64" s="33">
        <f t="shared" si="9"/>
        <v>0</v>
      </c>
      <c r="AT64" s="33">
        <v>2.0</v>
      </c>
      <c r="AU64" s="33">
        <f t="shared" si="10"/>
        <v>0</v>
      </c>
      <c r="AV64" s="33">
        <v>2.0</v>
      </c>
      <c r="AW64" s="34">
        <f t="shared" si="11"/>
        <v>24</v>
      </c>
      <c r="AX64" s="34">
        <f t="shared" si="12"/>
        <v>23</v>
      </c>
      <c r="AY64" s="33"/>
    </row>
    <row r="65" ht="15.75" customHeight="1">
      <c r="A65" s="38"/>
      <c r="B65" s="18" t="s">
        <v>38</v>
      </c>
      <c r="C65" s="29" t="s">
        <v>39</v>
      </c>
      <c r="D65" s="35" t="s">
        <v>124</v>
      </c>
      <c r="E65" s="36" t="s">
        <v>6</v>
      </c>
      <c r="F65" s="36" t="s">
        <v>6</v>
      </c>
      <c r="G65" s="36" t="s">
        <v>6</v>
      </c>
      <c r="H65" s="36" t="s">
        <v>6</v>
      </c>
      <c r="I65" s="36" t="s">
        <v>6</v>
      </c>
      <c r="J65" s="36" t="s">
        <v>6</v>
      </c>
      <c r="K65" s="36" t="s">
        <v>25</v>
      </c>
      <c r="L65" s="36" t="s">
        <v>9</v>
      </c>
      <c r="M65" s="36" t="s">
        <v>10</v>
      </c>
      <c r="N65" s="36" t="s">
        <v>6</v>
      </c>
      <c r="O65" s="36" t="s">
        <v>6</v>
      </c>
      <c r="P65" s="36" t="s">
        <v>6</v>
      </c>
      <c r="Q65" s="36" t="s">
        <v>6</v>
      </c>
      <c r="R65" s="36" t="s">
        <v>25</v>
      </c>
      <c r="S65" s="36" t="s">
        <v>6</v>
      </c>
      <c r="T65" s="36" t="s">
        <v>6</v>
      </c>
      <c r="U65" s="36" t="s">
        <v>6</v>
      </c>
      <c r="V65" s="36" t="s">
        <v>6</v>
      </c>
      <c r="W65" s="36" t="s">
        <v>8</v>
      </c>
      <c r="X65" s="36" t="s">
        <v>6</v>
      </c>
      <c r="Y65" s="36" t="s">
        <v>25</v>
      </c>
      <c r="Z65" s="36" t="s">
        <v>6</v>
      </c>
      <c r="AA65" s="36" t="s">
        <v>6</v>
      </c>
      <c r="AB65" s="36" t="s">
        <v>6</v>
      </c>
      <c r="AC65" s="36" t="s">
        <v>6</v>
      </c>
      <c r="AD65" s="36" t="s">
        <v>6</v>
      </c>
      <c r="AE65" s="36" t="s">
        <v>7</v>
      </c>
      <c r="AF65" s="36" t="s">
        <v>25</v>
      </c>
      <c r="AG65" s="36"/>
      <c r="AH65" s="36"/>
      <c r="AI65" s="36"/>
      <c r="AJ65" s="36">
        <f t="shared" si="1"/>
        <v>20</v>
      </c>
      <c r="AK65" s="36">
        <f t="shared" si="2"/>
        <v>1</v>
      </c>
      <c r="AL65" s="36">
        <f t="shared" si="3"/>
        <v>1</v>
      </c>
      <c r="AM65" s="36">
        <f t="shared" si="4"/>
        <v>1</v>
      </c>
      <c r="AN65" s="36">
        <f t="shared" si="5"/>
        <v>1</v>
      </c>
      <c r="AO65" s="36">
        <f t="shared" si="6"/>
        <v>0</v>
      </c>
      <c r="AP65" s="36">
        <f t="shared" si="7"/>
        <v>0</v>
      </c>
      <c r="AQ65" s="36">
        <f t="shared" si="8"/>
        <v>0</v>
      </c>
      <c r="AR65" s="36">
        <v>1.0</v>
      </c>
      <c r="AS65" s="36">
        <f t="shared" si="9"/>
        <v>0</v>
      </c>
      <c r="AT65" s="36">
        <v>2.0</v>
      </c>
      <c r="AU65" s="36">
        <f t="shared" si="10"/>
        <v>0</v>
      </c>
      <c r="AV65" s="36">
        <v>2.0</v>
      </c>
      <c r="AW65" s="37">
        <f t="shared" si="11"/>
        <v>24</v>
      </c>
      <c r="AX65" s="37">
        <f t="shared" si="12"/>
        <v>23</v>
      </c>
      <c r="AY65" s="36"/>
    </row>
    <row r="66" ht="15.75" customHeight="1">
      <c r="A66" s="38"/>
      <c r="B66" s="24" t="s">
        <v>40</v>
      </c>
      <c r="C66" s="31" t="s">
        <v>41</v>
      </c>
      <c r="D66" s="32" t="s">
        <v>124</v>
      </c>
      <c r="E66" s="33" t="s">
        <v>6</v>
      </c>
      <c r="F66" s="33" t="s">
        <v>6</v>
      </c>
      <c r="G66" s="33" t="s">
        <v>6</v>
      </c>
      <c r="H66" s="33" t="s">
        <v>6</v>
      </c>
      <c r="I66" s="33" t="s">
        <v>7</v>
      </c>
      <c r="J66" s="33" t="s">
        <v>6</v>
      </c>
      <c r="K66" s="33" t="s">
        <v>25</v>
      </c>
      <c r="L66" s="33" t="s">
        <v>9</v>
      </c>
      <c r="M66" s="33" t="s">
        <v>10</v>
      </c>
      <c r="N66" s="33" t="s">
        <v>6</v>
      </c>
      <c r="O66" s="33" t="s">
        <v>6</v>
      </c>
      <c r="P66" s="33" t="s">
        <v>6</v>
      </c>
      <c r="Q66" s="33" t="s">
        <v>6</v>
      </c>
      <c r="R66" s="33" t="s">
        <v>25</v>
      </c>
      <c r="S66" s="33" t="s">
        <v>6</v>
      </c>
      <c r="T66" s="33" t="s">
        <v>6</v>
      </c>
      <c r="U66" s="33" t="s">
        <v>6</v>
      </c>
      <c r="V66" s="33" t="s">
        <v>6</v>
      </c>
      <c r="W66" s="33" t="s">
        <v>6</v>
      </c>
      <c r="X66" s="33" t="s">
        <v>6</v>
      </c>
      <c r="Y66" s="33" t="s">
        <v>25</v>
      </c>
      <c r="Z66" s="33" t="s">
        <v>6</v>
      </c>
      <c r="AA66" s="33" t="s">
        <v>6</v>
      </c>
      <c r="AB66" s="33" t="s">
        <v>6</v>
      </c>
      <c r="AC66" s="33" t="s">
        <v>6</v>
      </c>
      <c r="AD66" s="33" t="s">
        <v>6</v>
      </c>
      <c r="AE66" s="33" t="s">
        <v>6</v>
      </c>
      <c r="AF66" s="33" t="s">
        <v>25</v>
      </c>
      <c r="AG66" s="33"/>
      <c r="AH66" s="33"/>
      <c r="AI66" s="33"/>
      <c r="AJ66" s="33">
        <f t="shared" si="1"/>
        <v>21</v>
      </c>
      <c r="AK66" s="33">
        <f t="shared" si="2"/>
        <v>1</v>
      </c>
      <c r="AL66" s="33">
        <f t="shared" si="3"/>
        <v>0</v>
      </c>
      <c r="AM66" s="33">
        <f t="shared" si="4"/>
        <v>1</v>
      </c>
      <c r="AN66" s="33">
        <f t="shared" si="5"/>
        <v>1</v>
      </c>
      <c r="AO66" s="33">
        <f t="shared" si="6"/>
        <v>0</v>
      </c>
      <c r="AP66" s="33">
        <f t="shared" si="7"/>
        <v>0</v>
      </c>
      <c r="AQ66" s="33">
        <f t="shared" si="8"/>
        <v>0</v>
      </c>
      <c r="AR66" s="33">
        <v>1.0</v>
      </c>
      <c r="AS66" s="33">
        <f t="shared" si="9"/>
        <v>0</v>
      </c>
      <c r="AT66" s="33">
        <v>2.0</v>
      </c>
      <c r="AU66" s="33">
        <f t="shared" si="10"/>
        <v>0</v>
      </c>
      <c r="AV66" s="33">
        <v>2.0</v>
      </c>
      <c r="AW66" s="34">
        <f t="shared" si="11"/>
        <v>24</v>
      </c>
      <c r="AX66" s="34">
        <f t="shared" si="12"/>
        <v>23</v>
      </c>
      <c r="AY66" s="33"/>
    </row>
    <row r="67" ht="15.75" customHeight="1">
      <c r="A67" s="38"/>
      <c r="B67" s="18" t="s">
        <v>42</v>
      </c>
      <c r="C67" s="29" t="s">
        <v>43</v>
      </c>
      <c r="D67" s="35" t="s">
        <v>124</v>
      </c>
      <c r="E67" s="36" t="s">
        <v>6</v>
      </c>
      <c r="F67" s="36" t="s">
        <v>6</v>
      </c>
      <c r="G67" s="36" t="s">
        <v>6</v>
      </c>
      <c r="H67" s="36" t="s">
        <v>6</v>
      </c>
      <c r="I67" s="36" t="s">
        <v>6</v>
      </c>
      <c r="J67" s="36" t="s">
        <v>6</v>
      </c>
      <c r="K67" s="36" t="s">
        <v>25</v>
      </c>
      <c r="L67" s="36" t="s">
        <v>9</v>
      </c>
      <c r="M67" s="36" t="s">
        <v>10</v>
      </c>
      <c r="N67" s="36" t="s">
        <v>6</v>
      </c>
      <c r="O67" s="36" t="s">
        <v>6</v>
      </c>
      <c r="P67" s="36" t="s">
        <v>6</v>
      </c>
      <c r="Q67" s="36" t="s">
        <v>6</v>
      </c>
      <c r="R67" s="36" t="s">
        <v>25</v>
      </c>
      <c r="S67" s="36" t="s">
        <v>6</v>
      </c>
      <c r="T67" s="36" t="s">
        <v>6</v>
      </c>
      <c r="U67" s="36" t="s">
        <v>6</v>
      </c>
      <c r="V67" s="36" t="s">
        <v>7</v>
      </c>
      <c r="W67" s="36" t="s">
        <v>6</v>
      </c>
      <c r="X67" s="36" t="s">
        <v>6</v>
      </c>
      <c r="Y67" s="36" t="s">
        <v>25</v>
      </c>
      <c r="Z67" s="36" t="s">
        <v>7</v>
      </c>
      <c r="AA67" s="36" t="s">
        <v>6</v>
      </c>
      <c r="AB67" s="36" t="s">
        <v>6</v>
      </c>
      <c r="AC67" s="36" t="s">
        <v>7</v>
      </c>
      <c r="AD67" s="36" t="s">
        <v>6</v>
      </c>
      <c r="AE67" s="36" t="s">
        <v>6</v>
      </c>
      <c r="AF67" s="36" t="s">
        <v>25</v>
      </c>
      <c r="AG67" s="36"/>
      <c r="AH67" s="36"/>
      <c r="AI67" s="36"/>
      <c r="AJ67" s="36">
        <f t="shared" si="1"/>
        <v>19</v>
      </c>
      <c r="AK67" s="36">
        <f t="shared" si="2"/>
        <v>3</v>
      </c>
      <c r="AL67" s="36">
        <f t="shared" si="3"/>
        <v>0</v>
      </c>
      <c r="AM67" s="36">
        <f t="shared" si="4"/>
        <v>1</v>
      </c>
      <c r="AN67" s="36">
        <f t="shared" si="5"/>
        <v>1</v>
      </c>
      <c r="AO67" s="36">
        <f t="shared" si="6"/>
        <v>0</v>
      </c>
      <c r="AP67" s="36">
        <f t="shared" si="7"/>
        <v>0</v>
      </c>
      <c r="AQ67" s="36">
        <f t="shared" si="8"/>
        <v>0</v>
      </c>
      <c r="AR67" s="36">
        <v>1.0</v>
      </c>
      <c r="AS67" s="36">
        <f t="shared" si="9"/>
        <v>0</v>
      </c>
      <c r="AT67" s="36">
        <v>2.0</v>
      </c>
      <c r="AU67" s="36">
        <f t="shared" si="10"/>
        <v>0</v>
      </c>
      <c r="AV67" s="36">
        <v>2.0</v>
      </c>
      <c r="AW67" s="37">
        <f t="shared" si="11"/>
        <v>24</v>
      </c>
      <c r="AX67" s="37">
        <f t="shared" si="12"/>
        <v>21</v>
      </c>
      <c r="AY67" s="36"/>
    </row>
    <row r="68" ht="15.75" customHeight="1">
      <c r="A68" s="38"/>
      <c r="B68" s="24" t="s">
        <v>44</v>
      </c>
      <c r="C68" s="31" t="s">
        <v>45</v>
      </c>
      <c r="D68" s="32" t="s">
        <v>124</v>
      </c>
      <c r="E68" s="33" t="s">
        <v>6</v>
      </c>
      <c r="F68" s="33" t="s">
        <v>6</v>
      </c>
      <c r="G68" s="33" t="s">
        <v>6</v>
      </c>
      <c r="H68" s="33" t="s">
        <v>6</v>
      </c>
      <c r="I68" s="33" t="s">
        <v>6</v>
      </c>
      <c r="J68" s="33" t="s">
        <v>6</v>
      </c>
      <c r="K68" s="33" t="s">
        <v>25</v>
      </c>
      <c r="L68" s="33" t="s">
        <v>9</v>
      </c>
      <c r="M68" s="33" t="s">
        <v>10</v>
      </c>
      <c r="N68" s="33" t="s">
        <v>6</v>
      </c>
      <c r="O68" s="33" t="s">
        <v>6</v>
      </c>
      <c r="P68" s="33" t="s">
        <v>6</v>
      </c>
      <c r="Q68" s="33" t="s">
        <v>6</v>
      </c>
      <c r="R68" s="33" t="s">
        <v>25</v>
      </c>
      <c r="S68" s="33" t="s">
        <v>6</v>
      </c>
      <c r="T68" s="33" t="s">
        <v>6</v>
      </c>
      <c r="U68" s="33" t="s">
        <v>6</v>
      </c>
      <c r="V68" s="33" t="s">
        <v>6</v>
      </c>
      <c r="W68" s="33" t="s">
        <v>6</v>
      </c>
      <c r="X68" s="33" t="s">
        <v>6</v>
      </c>
      <c r="Y68" s="33" t="s">
        <v>25</v>
      </c>
      <c r="Z68" s="33" t="s">
        <v>6</v>
      </c>
      <c r="AA68" s="33" t="s">
        <v>6</v>
      </c>
      <c r="AB68" s="33" t="s">
        <v>6</v>
      </c>
      <c r="AC68" s="33" t="s">
        <v>6</v>
      </c>
      <c r="AD68" s="33" t="s">
        <v>6</v>
      </c>
      <c r="AE68" s="33" t="s">
        <v>6</v>
      </c>
      <c r="AF68" s="33" t="s">
        <v>25</v>
      </c>
      <c r="AG68" s="33"/>
      <c r="AH68" s="33"/>
      <c r="AI68" s="33"/>
      <c r="AJ68" s="33">
        <f t="shared" si="1"/>
        <v>22</v>
      </c>
      <c r="AK68" s="33">
        <f t="shared" si="2"/>
        <v>0</v>
      </c>
      <c r="AL68" s="33">
        <f t="shared" si="3"/>
        <v>0</v>
      </c>
      <c r="AM68" s="33">
        <f t="shared" si="4"/>
        <v>1</v>
      </c>
      <c r="AN68" s="33">
        <f t="shared" si="5"/>
        <v>1</v>
      </c>
      <c r="AO68" s="33">
        <f t="shared" si="6"/>
        <v>0</v>
      </c>
      <c r="AP68" s="33">
        <f t="shared" si="7"/>
        <v>0</v>
      </c>
      <c r="AQ68" s="33">
        <f t="shared" si="8"/>
        <v>0</v>
      </c>
      <c r="AR68" s="33">
        <v>1.0</v>
      </c>
      <c r="AS68" s="33">
        <f t="shared" si="9"/>
        <v>0</v>
      </c>
      <c r="AT68" s="33">
        <v>2.0</v>
      </c>
      <c r="AU68" s="33">
        <f t="shared" si="10"/>
        <v>0</v>
      </c>
      <c r="AV68" s="33">
        <v>2.0</v>
      </c>
      <c r="AW68" s="34">
        <f t="shared" si="11"/>
        <v>24</v>
      </c>
      <c r="AX68" s="34">
        <f t="shared" si="12"/>
        <v>24</v>
      </c>
      <c r="AY68" s="33"/>
    </row>
    <row r="69" ht="15.75" customHeight="1">
      <c r="A69" s="38"/>
      <c r="B69" s="18" t="s">
        <v>46</v>
      </c>
      <c r="C69" s="29" t="s">
        <v>47</v>
      </c>
      <c r="D69" s="35" t="s">
        <v>124</v>
      </c>
      <c r="E69" s="36" t="s">
        <v>6</v>
      </c>
      <c r="F69" s="36" t="s">
        <v>6</v>
      </c>
      <c r="G69" s="36" t="s">
        <v>6</v>
      </c>
      <c r="H69" s="36" t="s">
        <v>6</v>
      </c>
      <c r="I69" s="36" t="s">
        <v>7</v>
      </c>
      <c r="J69" s="36" t="s">
        <v>6</v>
      </c>
      <c r="K69" s="36" t="s">
        <v>25</v>
      </c>
      <c r="L69" s="36" t="s">
        <v>9</v>
      </c>
      <c r="M69" s="36" t="s">
        <v>10</v>
      </c>
      <c r="N69" s="36" t="s">
        <v>6</v>
      </c>
      <c r="O69" s="36" t="s">
        <v>6</v>
      </c>
      <c r="P69" s="36" t="s">
        <v>6</v>
      </c>
      <c r="Q69" s="36" t="s">
        <v>7</v>
      </c>
      <c r="R69" s="36" t="s">
        <v>25</v>
      </c>
      <c r="S69" s="36" t="s">
        <v>6</v>
      </c>
      <c r="T69" s="36" t="s">
        <v>6</v>
      </c>
      <c r="U69" s="36" t="s">
        <v>6</v>
      </c>
      <c r="V69" s="36" t="s">
        <v>6</v>
      </c>
      <c r="W69" s="36" t="s">
        <v>8</v>
      </c>
      <c r="X69" s="36" t="s">
        <v>6</v>
      </c>
      <c r="Y69" s="36" t="s">
        <v>25</v>
      </c>
      <c r="Z69" s="36" t="s">
        <v>6</v>
      </c>
      <c r="AA69" s="36" t="s">
        <v>6</v>
      </c>
      <c r="AB69" s="36" t="s">
        <v>6</v>
      </c>
      <c r="AC69" s="36" t="s">
        <v>6</v>
      </c>
      <c r="AD69" s="36" t="s">
        <v>6</v>
      </c>
      <c r="AE69" s="36" t="s">
        <v>17</v>
      </c>
      <c r="AF69" s="36" t="s">
        <v>25</v>
      </c>
      <c r="AG69" s="36"/>
      <c r="AH69" s="36"/>
      <c r="AI69" s="36"/>
      <c r="AJ69" s="36">
        <f t="shared" si="1"/>
        <v>18</v>
      </c>
      <c r="AK69" s="36">
        <f t="shared" si="2"/>
        <v>2</v>
      </c>
      <c r="AL69" s="36">
        <f t="shared" si="3"/>
        <v>1</v>
      </c>
      <c r="AM69" s="36">
        <f t="shared" si="4"/>
        <v>1</v>
      </c>
      <c r="AN69" s="36">
        <f t="shared" si="5"/>
        <v>1</v>
      </c>
      <c r="AO69" s="36">
        <f t="shared" si="6"/>
        <v>0</v>
      </c>
      <c r="AP69" s="36">
        <f t="shared" si="7"/>
        <v>0</v>
      </c>
      <c r="AQ69" s="36">
        <f t="shared" si="8"/>
        <v>0</v>
      </c>
      <c r="AR69" s="36">
        <v>1.0</v>
      </c>
      <c r="AS69" s="36">
        <f t="shared" si="9"/>
        <v>0</v>
      </c>
      <c r="AT69" s="36">
        <v>2.0</v>
      </c>
      <c r="AU69" s="36">
        <f t="shared" si="10"/>
        <v>1</v>
      </c>
      <c r="AV69" s="36">
        <v>2.0</v>
      </c>
      <c r="AW69" s="37">
        <f t="shared" si="11"/>
        <v>24</v>
      </c>
      <c r="AX69" s="37">
        <f t="shared" si="12"/>
        <v>22</v>
      </c>
      <c r="AY69" s="36"/>
    </row>
    <row r="70" ht="15.75" customHeight="1">
      <c r="A70" s="38"/>
      <c r="B70" s="24" t="s">
        <v>48</v>
      </c>
      <c r="C70" s="31" t="s">
        <v>49</v>
      </c>
      <c r="D70" s="32" t="s">
        <v>124</v>
      </c>
      <c r="E70" s="33" t="s">
        <v>6</v>
      </c>
      <c r="F70" s="33" t="s">
        <v>6</v>
      </c>
      <c r="G70" s="33" t="s">
        <v>6</v>
      </c>
      <c r="H70" s="33" t="s">
        <v>6</v>
      </c>
      <c r="I70" s="33" t="s">
        <v>6</v>
      </c>
      <c r="J70" s="33" t="s">
        <v>6</v>
      </c>
      <c r="K70" s="33" t="s">
        <v>25</v>
      </c>
      <c r="L70" s="33" t="s">
        <v>9</v>
      </c>
      <c r="M70" s="33" t="s">
        <v>10</v>
      </c>
      <c r="N70" s="33" t="s">
        <v>6</v>
      </c>
      <c r="O70" s="33" t="s">
        <v>7</v>
      </c>
      <c r="P70" s="33" t="s">
        <v>6</v>
      </c>
      <c r="Q70" s="33" t="s">
        <v>6</v>
      </c>
      <c r="R70" s="33" t="s">
        <v>25</v>
      </c>
      <c r="S70" s="33" t="s">
        <v>6</v>
      </c>
      <c r="T70" s="33" t="s">
        <v>6</v>
      </c>
      <c r="U70" s="33" t="s">
        <v>6</v>
      </c>
      <c r="V70" s="33" t="s">
        <v>11</v>
      </c>
      <c r="W70" s="33" t="s">
        <v>11</v>
      </c>
      <c r="X70" s="33" t="s">
        <v>11</v>
      </c>
      <c r="Y70" s="33" t="s">
        <v>25</v>
      </c>
      <c r="Z70" s="33" t="s">
        <v>11</v>
      </c>
      <c r="AA70" s="33" t="s">
        <v>11</v>
      </c>
      <c r="AB70" s="33" t="s">
        <v>6</v>
      </c>
      <c r="AC70" s="33" t="s">
        <v>6</v>
      </c>
      <c r="AD70" s="33" t="s">
        <v>6</v>
      </c>
      <c r="AE70" s="33" t="s">
        <v>6</v>
      </c>
      <c r="AF70" s="33" t="s">
        <v>25</v>
      </c>
      <c r="AG70" s="33"/>
      <c r="AH70" s="33"/>
      <c r="AI70" s="33"/>
      <c r="AJ70" s="33">
        <f t="shared" si="1"/>
        <v>16</v>
      </c>
      <c r="AK70" s="33">
        <f t="shared" si="2"/>
        <v>1</v>
      </c>
      <c r="AL70" s="33">
        <f t="shared" si="3"/>
        <v>0</v>
      </c>
      <c r="AM70" s="33">
        <f t="shared" si="4"/>
        <v>1</v>
      </c>
      <c r="AN70" s="33">
        <f t="shared" si="5"/>
        <v>1</v>
      </c>
      <c r="AO70" s="33">
        <f t="shared" si="6"/>
        <v>5</v>
      </c>
      <c r="AP70" s="33">
        <f t="shared" si="7"/>
        <v>0</v>
      </c>
      <c r="AQ70" s="33">
        <f t="shared" si="8"/>
        <v>0</v>
      </c>
      <c r="AR70" s="33">
        <v>1.0</v>
      </c>
      <c r="AS70" s="33">
        <f t="shared" si="9"/>
        <v>0</v>
      </c>
      <c r="AT70" s="33">
        <v>2.0</v>
      </c>
      <c r="AU70" s="33">
        <f t="shared" si="10"/>
        <v>0</v>
      </c>
      <c r="AV70" s="33">
        <v>2.0</v>
      </c>
      <c r="AW70" s="34">
        <f t="shared" si="11"/>
        <v>24</v>
      </c>
      <c r="AX70" s="34">
        <f t="shared" si="12"/>
        <v>23</v>
      </c>
      <c r="AY70" s="33"/>
    </row>
    <row r="71" ht="15.75" customHeight="1">
      <c r="A71" s="38"/>
      <c r="B71" s="18" t="s">
        <v>50</v>
      </c>
      <c r="C71" s="29" t="s">
        <v>51</v>
      </c>
      <c r="D71" s="35" t="s">
        <v>124</v>
      </c>
      <c r="E71" s="36" t="s">
        <v>6</v>
      </c>
      <c r="F71" s="36" t="s">
        <v>6</v>
      </c>
      <c r="G71" s="36" t="s">
        <v>6</v>
      </c>
      <c r="H71" s="36" t="s">
        <v>6</v>
      </c>
      <c r="I71" s="36" t="s">
        <v>6</v>
      </c>
      <c r="J71" s="36" t="s">
        <v>6</v>
      </c>
      <c r="K71" s="36" t="s">
        <v>25</v>
      </c>
      <c r="L71" s="36" t="s">
        <v>9</v>
      </c>
      <c r="M71" s="36" t="s">
        <v>10</v>
      </c>
      <c r="N71" s="36" t="s">
        <v>6</v>
      </c>
      <c r="O71" s="36" t="s">
        <v>6</v>
      </c>
      <c r="P71" s="36" t="s">
        <v>6</v>
      </c>
      <c r="Q71" s="36" t="s">
        <v>6</v>
      </c>
      <c r="R71" s="36" t="s">
        <v>25</v>
      </c>
      <c r="S71" s="36" t="s">
        <v>6</v>
      </c>
      <c r="T71" s="36" t="s">
        <v>6</v>
      </c>
      <c r="U71" s="36" t="s">
        <v>6</v>
      </c>
      <c r="V71" s="36" t="s">
        <v>6</v>
      </c>
      <c r="W71" s="36" t="s">
        <v>6</v>
      </c>
      <c r="X71" s="36" t="s">
        <v>6</v>
      </c>
      <c r="Y71" s="36" t="s">
        <v>25</v>
      </c>
      <c r="Z71" s="36" t="s">
        <v>8</v>
      </c>
      <c r="AA71" s="36" t="s">
        <v>6</v>
      </c>
      <c r="AB71" s="36" t="s">
        <v>6</v>
      </c>
      <c r="AC71" s="36" t="s">
        <v>12</v>
      </c>
      <c r="AD71" s="36" t="s">
        <v>12</v>
      </c>
      <c r="AE71" s="36" t="s">
        <v>12</v>
      </c>
      <c r="AF71" s="36" t="s">
        <v>25</v>
      </c>
      <c r="AG71" s="36"/>
      <c r="AH71" s="36"/>
      <c r="AI71" s="36"/>
      <c r="AJ71" s="36">
        <f t="shared" si="1"/>
        <v>18</v>
      </c>
      <c r="AK71" s="36">
        <f t="shared" si="2"/>
        <v>0</v>
      </c>
      <c r="AL71" s="36">
        <f t="shared" si="3"/>
        <v>1</v>
      </c>
      <c r="AM71" s="36">
        <f t="shared" si="4"/>
        <v>1</v>
      </c>
      <c r="AN71" s="36">
        <f t="shared" si="5"/>
        <v>1</v>
      </c>
      <c r="AO71" s="36">
        <f t="shared" si="6"/>
        <v>0</v>
      </c>
      <c r="AP71" s="36">
        <f t="shared" si="7"/>
        <v>3</v>
      </c>
      <c r="AQ71" s="36">
        <f t="shared" si="8"/>
        <v>0</v>
      </c>
      <c r="AR71" s="36">
        <v>1.0</v>
      </c>
      <c r="AS71" s="36">
        <f t="shared" si="9"/>
        <v>0</v>
      </c>
      <c r="AT71" s="36">
        <v>2.0</v>
      </c>
      <c r="AU71" s="36">
        <f t="shared" si="10"/>
        <v>0</v>
      </c>
      <c r="AV71" s="36">
        <v>2.0</v>
      </c>
      <c r="AW71" s="37">
        <f t="shared" si="11"/>
        <v>24</v>
      </c>
      <c r="AX71" s="37">
        <f t="shared" si="12"/>
        <v>24</v>
      </c>
      <c r="AY71" s="36"/>
    </row>
    <row r="72" ht="15.75" customHeight="1">
      <c r="A72" s="38"/>
      <c r="B72" s="24" t="s">
        <v>52</v>
      </c>
      <c r="C72" s="31" t="s">
        <v>53</v>
      </c>
      <c r="D72" s="32" t="s">
        <v>124</v>
      </c>
      <c r="E72" s="33" t="s">
        <v>6</v>
      </c>
      <c r="F72" s="33" t="s">
        <v>6</v>
      </c>
      <c r="G72" s="33" t="s">
        <v>6</v>
      </c>
      <c r="H72" s="33" t="s">
        <v>6</v>
      </c>
      <c r="I72" s="33" t="s">
        <v>6</v>
      </c>
      <c r="J72" s="33" t="s">
        <v>6</v>
      </c>
      <c r="K72" s="33" t="s">
        <v>25</v>
      </c>
      <c r="L72" s="33" t="s">
        <v>9</v>
      </c>
      <c r="M72" s="33" t="s">
        <v>10</v>
      </c>
      <c r="N72" s="33" t="s">
        <v>6</v>
      </c>
      <c r="O72" s="33" t="s">
        <v>6</v>
      </c>
      <c r="P72" s="33" t="s">
        <v>6</v>
      </c>
      <c r="Q72" s="33" t="s">
        <v>6</v>
      </c>
      <c r="R72" s="33" t="s">
        <v>25</v>
      </c>
      <c r="S72" s="33" t="s">
        <v>6</v>
      </c>
      <c r="T72" s="33" t="s">
        <v>6</v>
      </c>
      <c r="U72" s="33" t="s">
        <v>6</v>
      </c>
      <c r="V72" s="33" t="s">
        <v>6</v>
      </c>
      <c r="W72" s="33" t="s">
        <v>6</v>
      </c>
      <c r="X72" s="33" t="s">
        <v>6</v>
      </c>
      <c r="Y72" s="33" t="s">
        <v>25</v>
      </c>
      <c r="Z72" s="33" t="s">
        <v>6</v>
      </c>
      <c r="AA72" s="33" t="s">
        <v>6</v>
      </c>
      <c r="AB72" s="33" t="s">
        <v>6</v>
      </c>
      <c r="AC72" s="33" t="s">
        <v>6</v>
      </c>
      <c r="AD72" s="33" t="s">
        <v>6</v>
      </c>
      <c r="AE72" s="33" t="s">
        <v>6</v>
      </c>
      <c r="AF72" s="33" t="s">
        <v>25</v>
      </c>
      <c r="AG72" s="33"/>
      <c r="AH72" s="33"/>
      <c r="AI72" s="33"/>
      <c r="AJ72" s="33">
        <f t="shared" si="1"/>
        <v>22</v>
      </c>
      <c r="AK72" s="33">
        <f t="shared" si="2"/>
        <v>0</v>
      </c>
      <c r="AL72" s="33">
        <f t="shared" si="3"/>
        <v>0</v>
      </c>
      <c r="AM72" s="33">
        <f t="shared" si="4"/>
        <v>1</v>
      </c>
      <c r="AN72" s="33">
        <f t="shared" si="5"/>
        <v>1</v>
      </c>
      <c r="AO72" s="33">
        <f t="shared" si="6"/>
        <v>0</v>
      </c>
      <c r="AP72" s="33">
        <f t="shared" si="7"/>
        <v>0</v>
      </c>
      <c r="AQ72" s="33">
        <f t="shared" si="8"/>
        <v>0</v>
      </c>
      <c r="AR72" s="33">
        <v>1.0</v>
      </c>
      <c r="AS72" s="33">
        <f t="shared" si="9"/>
        <v>0</v>
      </c>
      <c r="AT72" s="33">
        <v>2.0</v>
      </c>
      <c r="AU72" s="33">
        <f t="shared" si="10"/>
        <v>0</v>
      </c>
      <c r="AV72" s="33">
        <v>2.0</v>
      </c>
      <c r="AW72" s="34">
        <f t="shared" si="11"/>
        <v>24</v>
      </c>
      <c r="AX72" s="34">
        <f t="shared" si="12"/>
        <v>24</v>
      </c>
      <c r="AY72" s="33"/>
    </row>
    <row r="73" ht="15.75" customHeight="1">
      <c r="A73" s="38"/>
      <c r="B73" s="18" t="s">
        <v>54</v>
      </c>
      <c r="C73" s="29" t="s">
        <v>55</v>
      </c>
      <c r="D73" s="35" t="s">
        <v>124</v>
      </c>
      <c r="E73" s="36" t="s">
        <v>6</v>
      </c>
      <c r="F73" s="36" t="s">
        <v>6</v>
      </c>
      <c r="G73" s="36" t="s">
        <v>6</v>
      </c>
      <c r="H73" s="36" t="s">
        <v>6</v>
      </c>
      <c r="I73" s="36" t="s">
        <v>6</v>
      </c>
      <c r="J73" s="36" t="s">
        <v>6</v>
      </c>
      <c r="K73" s="36" t="s">
        <v>25</v>
      </c>
      <c r="L73" s="36" t="s">
        <v>9</v>
      </c>
      <c r="M73" s="36" t="s">
        <v>10</v>
      </c>
      <c r="N73" s="36" t="s">
        <v>6</v>
      </c>
      <c r="O73" s="36" t="s">
        <v>6</v>
      </c>
      <c r="P73" s="36" t="s">
        <v>6</v>
      </c>
      <c r="Q73" s="36" t="s">
        <v>6</v>
      </c>
      <c r="R73" s="36" t="s">
        <v>25</v>
      </c>
      <c r="S73" s="36" t="s">
        <v>6</v>
      </c>
      <c r="T73" s="36" t="s">
        <v>6</v>
      </c>
      <c r="U73" s="36" t="s">
        <v>6</v>
      </c>
      <c r="V73" s="36" t="s">
        <v>6</v>
      </c>
      <c r="W73" s="36" t="s">
        <v>6</v>
      </c>
      <c r="X73" s="36" t="s">
        <v>6</v>
      </c>
      <c r="Y73" s="36" t="s">
        <v>25</v>
      </c>
      <c r="Z73" s="36" t="s">
        <v>6</v>
      </c>
      <c r="AA73" s="36" t="s">
        <v>6</v>
      </c>
      <c r="AB73" s="36" t="s">
        <v>6</v>
      </c>
      <c r="AC73" s="36" t="s">
        <v>6</v>
      </c>
      <c r="AD73" s="36" t="s">
        <v>8</v>
      </c>
      <c r="AE73" s="36" t="s">
        <v>6</v>
      </c>
      <c r="AF73" s="36" t="s">
        <v>25</v>
      </c>
      <c r="AG73" s="36"/>
      <c r="AH73" s="36"/>
      <c r="AI73" s="36"/>
      <c r="AJ73" s="36">
        <f t="shared" si="1"/>
        <v>21</v>
      </c>
      <c r="AK73" s="36">
        <f t="shared" si="2"/>
        <v>0</v>
      </c>
      <c r="AL73" s="36">
        <f t="shared" si="3"/>
        <v>1</v>
      </c>
      <c r="AM73" s="36">
        <f t="shared" si="4"/>
        <v>1</v>
      </c>
      <c r="AN73" s="36">
        <f t="shared" si="5"/>
        <v>1</v>
      </c>
      <c r="AO73" s="36">
        <f t="shared" si="6"/>
        <v>0</v>
      </c>
      <c r="AP73" s="36">
        <f t="shared" si="7"/>
        <v>0</v>
      </c>
      <c r="AQ73" s="36">
        <f t="shared" si="8"/>
        <v>0</v>
      </c>
      <c r="AR73" s="36">
        <v>1.0</v>
      </c>
      <c r="AS73" s="36">
        <f t="shared" si="9"/>
        <v>0</v>
      </c>
      <c r="AT73" s="36">
        <v>2.0</v>
      </c>
      <c r="AU73" s="36">
        <f t="shared" si="10"/>
        <v>0</v>
      </c>
      <c r="AV73" s="36">
        <v>2.0</v>
      </c>
      <c r="AW73" s="37">
        <f t="shared" si="11"/>
        <v>24</v>
      </c>
      <c r="AX73" s="37">
        <f t="shared" si="12"/>
        <v>24</v>
      </c>
      <c r="AY73" s="36"/>
    </row>
    <row r="74" ht="15.75" customHeight="1">
      <c r="A74" s="38"/>
      <c r="B74" s="24" t="s">
        <v>56</v>
      </c>
      <c r="C74" s="31" t="s">
        <v>57</v>
      </c>
      <c r="D74" s="32" t="s">
        <v>124</v>
      </c>
      <c r="E74" s="33" t="s">
        <v>6</v>
      </c>
      <c r="F74" s="33" t="s">
        <v>6</v>
      </c>
      <c r="G74" s="33" t="s">
        <v>6</v>
      </c>
      <c r="H74" s="33" t="s">
        <v>6</v>
      </c>
      <c r="I74" s="33" t="s">
        <v>6</v>
      </c>
      <c r="J74" s="33" t="s">
        <v>6</v>
      </c>
      <c r="K74" s="33" t="s">
        <v>25</v>
      </c>
      <c r="L74" s="33" t="s">
        <v>9</v>
      </c>
      <c r="M74" s="33" t="s">
        <v>10</v>
      </c>
      <c r="N74" s="33" t="s">
        <v>6</v>
      </c>
      <c r="O74" s="33" t="s">
        <v>6</v>
      </c>
      <c r="P74" s="33" t="s">
        <v>6</v>
      </c>
      <c r="Q74" s="33" t="s">
        <v>6</v>
      </c>
      <c r="R74" s="33" t="s">
        <v>25</v>
      </c>
      <c r="S74" s="33" t="s">
        <v>6</v>
      </c>
      <c r="T74" s="33" t="s">
        <v>6</v>
      </c>
      <c r="U74" s="33" t="s">
        <v>6</v>
      </c>
      <c r="V74" s="33" t="s">
        <v>6</v>
      </c>
      <c r="W74" s="33" t="s">
        <v>6</v>
      </c>
      <c r="X74" s="33" t="s">
        <v>6</v>
      </c>
      <c r="Y74" s="33" t="s">
        <v>25</v>
      </c>
      <c r="Z74" s="33" t="s">
        <v>6</v>
      </c>
      <c r="AA74" s="33" t="s">
        <v>6</v>
      </c>
      <c r="AB74" s="33" t="s">
        <v>6</v>
      </c>
      <c r="AC74" s="33" t="s">
        <v>6</v>
      </c>
      <c r="AD74" s="33" t="s">
        <v>6</v>
      </c>
      <c r="AE74" s="33" t="s">
        <v>6</v>
      </c>
      <c r="AF74" s="33" t="s">
        <v>25</v>
      </c>
      <c r="AG74" s="33"/>
      <c r="AH74" s="33"/>
      <c r="AI74" s="33"/>
      <c r="AJ74" s="33">
        <f t="shared" si="1"/>
        <v>22</v>
      </c>
      <c r="AK74" s="33">
        <f t="shared" si="2"/>
        <v>0</v>
      </c>
      <c r="AL74" s="33">
        <f t="shared" si="3"/>
        <v>0</v>
      </c>
      <c r="AM74" s="33">
        <f t="shared" si="4"/>
        <v>1</v>
      </c>
      <c r="AN74" s="33">
        <f t="shared" si="5"/>
        <v>1</v>
      </c>
      <c r="AO74" s="33">
        <f t="shared" si="6"/>
        <v>0</v>
      </c>
      <c r="AP74" s="33">
        <f t="shared" si="7"/>
        <v>0</v>
      </c>
      <c r="AQ74" s="33">
        <f t="shared" si="8"/>
        <v>0</v>
      </c>
      <c r="AR74" s="33">
        <v>1.0</v>
      </c>
      <c r="AS74" s="33">
        <f t="shared" si="9"/>
        <v>0</v>
      </c>
      <c r="AT74" s="33">
        <v>2.0</v>
      </c>
      <c r="AU74" s="33">
        <f t="shared" si="10"/>
        <v>0</v>
      </c>
      <c r="AV74" s="33">
        <v>2.0</v>
      </c>
      <c r="AW74" s="34">
        <f t="shared" si="11"/>
        <v>24</v>
      </c>
      <c r="AX74" s="34">
        <f t="shared" si="12"/>
        <v>24</v>
      </c>
      <c r="AY74" s="33"/>
    </row>
    <row r="75" ht="15.75" customHeight="1">
      <c r="A75" s="38"/>
      <c r="B75" s="18" t="s">
        <v>58</v>
      </c>
      <c r="C75" s="29" t="s">
        <v>59</v>
      </c>
      <c r="D75" s="35" t="s">
        <v>124</v>
      </c>
      <c r="E75" s="36" t="s">
        <v>6</v>
      </c>
      <c r="F75" s="36" t="s">
        <v>6</v>
      </c>
      <c r="G75" s="36" t="s">
        <v>6</v>
      </c>
      <c r="H75" s="36" t="s">
        <v>6</v>
      </c>
      <c r="I75" s="36" t="s">
        <v>6</v>
      </c>
      <c r="J75" s="36" t="s">
        <v>6</v>
      </c>
      <c r="K75" s="36" t="s">
        <v>25</v>
      </c>
      <c r="L75" s="36" t="s">
        <v>9</v>
      </c>
      <c r="M75" s="36" t="s">
        <v>10</v>
      </c>
      <c r="N75" s="36" t="s">
        <v>6</v>
      </c>
      <c r="O75" s="36" t="s">
        <v>6</v>
      </c>
      <c r="P75" s="36" t="s">
        <v>6</v>
      </c>
      <c r="Q75" s="36" t="s">
        <v>6</v>
      </c>
      <c r="R75" s="36" t="s">
        <v>25</v>
      </c>
      <c r="S75" s="36" t="s">
        <v>6</v>
      </c>
      <c r="T75" s="36" t="s">
        <v>6</v>
      </c>
      <c r="U75" s="36" t="s">
        <v>6</v>
      </c>
      <c r="V75" s="36" t="s">
        <v>6</v>
      </c>
      <c r="W75" s="36" t="s">
        <v>6</v>
      </c>
      <c r="X75" s="36" t="s">
        <v>6</v>
      </c>
      <c r="Y75" s="36" t="s">
        <v>25</v>
      </c>
      <c r="Z75" s="36" t="s">
        <v>6</v>
      </c>
      <c r="AA75" s="36" t="s">
        <v>6</v>
      </c>
      <c r="AB75" s="36" t="s">
        <v>6</v>
      </c>
      <c r="AC75" s="36" t="s">
        <v>6</v>
      </c>
      <c r="AD75" s="36" t="s">
        <v>6</v>
      </c>
      <c r="AE75" s="36" t="s">
        <v>6</v>
      </c>
      <c r="AF75" s="36" t="s">
        <v>25</v>
      </c>
      <c r="AG75" s="36"/>
      <c r="AH75" s="36"/>
      <c r="AI75" s="36"/>
      <c r="AJ75" s="36">
        <f t="shared" si="1"/>
        <v>22</v>
      </c>
      <c r="AK75" s="36">
        <f t="shared" si="2"/>
        <v>0</v>
      </c>
      <c r="AL75" s="36">
        <f t="shared" si="3"/>
        <v>0</v>
      </c>
      <c r="AM75" s="36">
        <f t="shared" si="4"/>
        <v>1</v>
      </c>
      <c r="AN75" s="36">
        <f t="shared" si="5"/>
        <v>1</v>
      </c>
      <c r="AO75" s="36">
        <f t="shared" si="6"/>
        <v>0</v>
      </c>
      <c r="AP75" s="36">
        <f t="shared" si="7"/>
        <v>0</v>
      </c>
      <c r="AQ75" s="36">
        <f t="shared" si="8"/>
        <v>0</v>
      </c>
      <c r="AR75" s="36">
        <v>1.0</v>
      </c>
      <c r="AS75" s="36">
        <f t="shared" si="9"/>
        <v>0</v>
      </c>
      <c r="AT75" s="36">
        <v>2.0</v>
      </c>
      <c r="AU75" s="36">
        <f t="shared" si="10"/>
        <v>0</v>
      </c>
      <c r="AV75" s="36">
        <v>2.0</v>
      </c>
      <c r="AW75" s="37">
        <f t="shared" si="11"/>
        <v>24</v>
      </c>
      <c r="AX75" s="37">
        <f t="shared" si="12"/>
        <v>24</v>
      </c>
      <c r="AY75" s="36"/>
    </row>
    <row r="76" ht="15.75" customHeight="1">
      <c r="A76" s="38"/>
      <c r="B76" s="24" t="s">
        <v>60</v>
      </c>
      <c r="C76" s="31" t="s">
        <v>61</v>
      </c>
      <c r="D76" s="32" t="s">
        <v>124</v>
      </c>
      <c r="E76" s="33" t="s">
        <v>6</v>
      </c>
      <c r="F76" s="33" t="s">
        <v>6</v>
      </c>
      <c r="G76" s="33" t="s">
        <v>6</v>
      </c>
      <c r="H76" s="33" t="s">
        <v>6</v>
      </c>
      <c r="I76" s="33" t="s">
        <v>6</v>
      </c>
      <c r="J76" s="33" t="s">
        <v>6</v>
      </c>
      <c r="K76" s="33" t="s">
        <v>25</v>
      </c>
      <c r="L76" s="33" t="s">
        <v>9</v>
      </c>
      <c r="M76" s="33" t="s">
        <v>10</v>
      </c>
      <c r="N76" s="33" t="s">
        <v>6</v>
      </c>
      <c r="O76" s="33" t="s">
        <v>6</v>
      </c>
      <c r="P76" s="33" t="s">
        <v>6</v>
      </c>
      <c r="Q76" s="33" t="s">
        <v>6</v>
      </c>
      <c r="R76" s="33" t="s">
        <v>25</v>
      </c>
      <c r="S76" s="33" t="s">
        <v>6</v>
      </c>
      <c r="T76" s="33" t="s">
        <v>6</v>
      </c>
      <c r="U76" s="33" t="s">
        <v>6</v>
      </c>
      <c r="V76" s="33" t="s">
        <v>6</v>
      </c>
      <c r="W76" s="33" t="s">
        <v>6</v>
      </c>
      <c r="X76" s="33" t="s">
        <v>6</v>
      </c>
      <c r="Y76" s="33" t="s">
        <v>25</v>
      </c>
      <c r="Z76" s="33" t="s">
        <v>6</v>
      </c>
      <c r="AA76" s="33" t="s">
        <v>6</v>
      </c>
      <c r="AB76" s="33" t="s">
        <v>6</v>
      </c>
      <c r="AC76" s="33" t="s">
        <v>6</v>
      </c>
      <c r="AD76" s="33" t="s">
        <v>6</v>
      </c>
      <c r="AE76" s="33" t="s">
        <v>6</v>
      </c>
      <c r="AF76" s="33" t="s">
        <v>25</v>
      </c>
      <c r="AG76" s="33"/>
      <c r="AH76" s="33"/>
      <c r="AI76" s="33"/>
      <c r="AJ76" s="33">
        <f t="shared" si="1"/>
        <v>22</v>
      </c>
      <c r="AK76" s="33">
        <f t="shared" si="2"/>
        <v>0</v>
      </c>
      <c r="AL76" s="33">
        <f t="shared" si="3"/>
        <v>0</v>
      </c>
      <c r="AM76" s="33">
        <f t="shared" si="4"/>
        <v>1</v>
      </c>
      <c r="AN76" s="33">
        <f t="shared" si="5"/>
        <v>1</v>
      </c>
      <c r="AO76" s="33">
        <f t="shared" si="6"/>
        <v>0</v>
      </c>
      <c r="AP76" s="33">
        <f t="shared" si="7"/>
        <v>0</v>
      </c>
      <c r="AQ76" s="33">
        <f t="shared" si="8"/>
        <v>0</v>
      </c>
      <c r="AR76" s="33">
        <v>1.0</v>
      </c>
      <c r="AS76" s="33">
        <f t="shared" si="9"/>
        <v>0</v>
      </c>
      <c r="AT76" s="33">
        <v>2.0</v>
      </c>
      <c r="AU76" s="33">
        <f t="shared" si="10"/>
        <v>0</v>
      </c>
      <c r="AV76" s="33">
        <v>2.0</v>
      </c>
      <c r="AW76" s="34">
        <f t="shared" si="11"/>
        <v>24</v>
      </c>
      <c r="AX76" s="34">
        <f t="shared" si="12"/>
        <v>24</v>
      </c>
      <c r="AY76" s="33"/>
    </row>
    <row r="77" ht="15.75" customHeight="1">
      <c r="A77" s="38"/>
      <c r="B77" s="18" t="s">
        <v>62</v>
      </c>
      <c r="C77" s="29" t="s">
        <v>63</v>
      </c>
      <c r="D77" s="35" t="s">
        <v>124</v>
      </c>
      <c r="E77" s="36" t="s">
        <v>6</v>
      </c>
      <c r="F77" s="36" t="s">
        <v>6</v>
      </c>
      <c r="G77" s="36" t="s">
        <v>6</v>
      </c>
      <c r="H77" s="36" t="s">
        <v>6</v>
      </c>
      <c r="I77" s="36" t="s">
        <v>6</v>
      </c>
      <c r="J77" s="36" t="s">
        <v>6</v>
      </c>
      <c r="K77" s="36" t="s">
        <v>25</v>
      </c>
      <c r="L77" s="36" t="s">
        <v>9</v>
      </c>
      <c r="M77" s="36" t="s">
        <v>10</v>
      </c>
      <c r="N77" s="36" t="s">
        <v>6</v>
      </c>
      <c r="O77" s="36" t="s">
        <v>6</v>
      </c>
      <c r="P77" s="36" t="s">
        <v>6</v>
      </c>
      <c r="Q77" s="36" t="s">
        <v>6</v>
      </c>
      <c r="R77" s="36" t="s">
        <v>25</v>
      </c>
      <c r="S77" s="36" t="s">
        <v>6</v>
      </c>
      <c r="T77" s="36" t="s">
        <v>6</v>
      </c>
      <c r="U77" s="36" t="s">
        <v>6</v>
      </c>
      <c r="V77" s="36" t="s">
        <v>6</v>
      </c>
      <c r="W77" s="36" t="s">
        <v>6</v>
      </c>
      <c r="X77" s="36" t="s">
        <v>6</v>
      </c>
      <c r="Y77" s="36" t="s">
        <v>25</v>
      </c>
      <c r="Z77" s="36" t="s">
        <v>6</v>
      </c>
      <c r="AA77" s="36" t="s">
        <v>6</v>
      </c>
      <c r="AB77" s="36" t="s">
        <v>6</v>
      </c>
      <c r="AC77" s="36" t="s">
        <v>6</v>
      </c>
      <c r="AD77" s="36" t="s">
        <v>8</v>
      </c>
      <c r="AE77" s="36" t="s">
        <v>6</v>
      </c>
      <c r="AF77" s="36" t="s">
        <v>25</v>
      </c>
      <c r="AG77" s="36"/>
      <c r="AH77" s="36"/>
      <c r="AI77" s="36"/>
      <c r="AJ77" s="36">
        <f t="shared" si="1"/>
        <v>21</v>
      </c>
      <c r="AK77" s="36">
        <f t="shared" si="2"/>
        <v>0</v>
      </c>
      <c r="AL77" s="36">
        <f t="shared" si="3"/>
        <v>1</v>
      </c>
      <c r="AM77" s="36">
        <f t="shared" si="4"/>
        <v>1</v>
      </c>
      <c r="AN77" s="36">
        <f t="shared" si="5"/>
        <v>1</v>
      </c>
      <c r="AO77" s="36">
        <f t="shared" si="6"/>
        <v>0</v>
      </c>
      <c r="AP77" s="36">
        <f t="shared" si="7"/>
        <v>0</v>
      </c>
      <c r="AQ77" s="36">
        <f t="shared" si="8"/>
        <v>0</v>
      </c>
      <c r="AR77" s="36">
        <v>1.0</v>
      </c>
      <c r="AS77" s="36">
        <f t="shared" si="9"/>
        <v>0</v>
      </c>
      <c r="AT77" s="36">
        <v>2.0</v>
      </c>
      <c r="AU77" s="36">
        <f t="shared" si="10"/>
        <v>0</v>
      </c>
      <c r="AV77" s="36">
        <v>2.0</v>
      </c>
      <c r="AW77" s="37">
        <f t="shared" si="11"/>
        <v>24</v>
      </c>
      <c r="AX77" s="37">
        <f t="shared" si="12"/>
        <v>24</v>
      </c>
      <c r="AY77" s="36"/>
    </row>
    <row r="78" ht="15.75" customHeight="1">
      <c r="A78" s="38"/>
      <c r="B78" s="24" t="s">
        <v>64</v>
      </c>
      <c r="C78" s="31" t="s">
        <v>65</v>
      </c>
      <c r="D78" s="32" t="s">
        <v>124</v>
      </c>
      <c r="E78" s="33" t="s">
        <v>6</v>
      </c>
      <c r="F78" s="33" t="s">
        <v>6</v>
      </c>
      <c r="G78" s="33" t="s">
        <v>6</v>
      </c>
      <c r="H78" s="33" t="s">
        <v>6</v>
      </c>
      <c r="I78" s="33" t="s">
        <v>6</v>
      </c>
      <c r="J78" s="33" t="s">
        <v>6</v>
      </c>
      <c r="K78" s="33" t="s">
        <v>25</v>
      </c>
      <c r="L78" s="33" t="s">
        <v>9</v>
      </c>
      <c r="M78" s="33" t="s">
        <v>10</v>
      </c>
      <c r="N78" s="33" t="s">
        <v>6</v>
      </c>
      <c r="O78" s="33" t="s">
        <v>6</v>
      </c>
      <c r="P78" s="33" t="s">
        <v>6</v>
      </c>
      <c r="Q78" s="33" t="s">
        <v>6</v>
      </c>
      <c r="R78" s="33" t="s">
        <v>25</v>
      </c>
      <c r="S78" s="33" t="s">
        <v>6</v>
      </c>
      <c r="T78" s="33" t="s">
        <v>6</v>
      </c>
      <c r="U78" s="33" t="s">
        <v>6</v>
      </c>
      <c r="V78" s="33" t="s">
        <v>6</v>
      </c>
      <c r="W78" s="33" t="s">
        <v>6</v>
      </c>
      <c r="X78" s="33" t="s">
        <v>6</v>
      </c>
      <c r="Y78" s="33" t="s">
        <v>25</v>
      </c>
      <c r="Z78" s="33" t="s">
        <v>6</v>
      </c>
      <c r="AA78" s="33" t="s">
        <v>6</v>
      </c>
      <c r="AB78" s="33" t="s">
        <v>6</v>
      </c>
      <c r="AC78" s="33" t="s">
        <v>6</v>
      </c>
      <c r="AD78" s="33" t="s">
        <v>6</v>
      </c>
      <c r="AE78" s="33" t="s">
        <v>6</v>
      </c>
      <c r="AF78" s="33" t="s">
        <v>25</v>
      </c>
      <c r="AG78" s="33"/>
      <c r="AH78" s="33"/>
      <c r="AI78" s="33"/>
      <c r="AJ78" s="33">
        <f t="shared" si="1"/>
        <v>22</v>
      </c>
      <c r="AK78" s="33">
        <f t="shared" si="2"/>
        <v>0</v>
      </c>
      <c r="AL78" s="33">
        <f t="shared" si="3"/>
        <v>0</v>
      </c>
      <c r="AM78" s="33">
        <f t="shared" si="4"/>
        <v>1</v>
      </c>
      <c r="AN78" s="33">
        <f t="shared" si="5"/>
        <v>1</v>
      </c>
      <c r="AO78" s="33">
        <f t="shared" si="6"/>
        <v>0</v>
      </c>
      <c r="AP78" s="33">
        <f t="shared" si="7"/>
        <v>0</v>
      </c>
      <c r="AQ78" s="33">
        <f t="shared" si="8"/>
        <v>0</v>
      </c>
      <c r="AR78" s="33">
        <v>1.0</v>
      </c>
      <c r="AS78" s="33">
        <f t="shared" si="9"/>
        <v>0</v>
      </c>
      <c r="AT78" s="33">
        <v>2.0</v>
      </c>
      <c r="AU78" s="33">
        <f t="shared" si="10"/>
        <v>0</v>
      </c>
      <c r="AV78" s="33">
        <v>2.0</v>
      </c>
      <c r="AW78" s="34">
        <f t="shared" si="11"/>
        <v>24</v>
      </c>
      <c r="AX78" s="34">
        <f t="shared" si="12"/>
        <v>24</v>
      </c>
      <c r="AY78" s="33"/>
    </row>
    <row r="79" ht="15.75" customHeight="1">
      <c r="A79" s="38"/>
      <c r="B79" s="18" t="s">
        <v>66</v>
      </c>
      <c r="C79" s="29" t="s">
        <v>67</v>
      </c>
      <c r="D79" s="35" t="s">
        <v>124</v>
      </c>
      <c r="E79" s="36" t="s">
        <v>6</v>
      </c>
      <c r="F79" s="36" t="s">
        <v>6</v>
      </c>
      <c r="G79" s="36" t="s">
        <v>6</v>
      </c>
      <c r="H79" s="36" t="s">
        <v>6</v>
      </c>
      <c r="I79" s="36" t="s">
        <v>6</v>
      </c>
      <c r="J79" s="36" t="s">
        <v>6</v>
      </c>
      <c r="K79" s="36" t="s">
        <v>25</v>
      </c>
      <c r="L79" s="36" t="s">
        <v>9</v>
      </c>
      <c r="M79" s="36" t="s">
        <v>10</v>
      </c>
      <c r="N79" s="36" t="s">
        <v>6</v>
      </c>
      <c r="O79" s="36" t="s">
        <v>6</v>
      </c>
      <c r="P79" s="36" t="s">
        <v>6</v>
      </c>
      <c r="Q79" s="36" t="s">
        <v>6</v>
      </c>
      <c r="R79" s="36" t="s">
        <v>25</v>
      </c>
      <c r="S79" s="36" t="s">
        <v>6</v>
      </c>
      <c r="T79" s="36" t="s">
        <v>6</v>
      </c>
      <c r="U79" s="36" t="s">
        <v>6</v>
      </c>
      <c r="V79" s="36" t="s">
        <v>6</v>
      </c>
      <c r="W79" s="36" t="s">
        <v>6</v>
      </c>
      <c r="X79" s="36" t="s">
        <v>6</v>
      </c>
      <c r="Y79" s="36" t="s">
        <v>25</v>
      </c>
      <c r="Z79" s="36" t="s">
        <v>6</v>
      </c>
      <c r="AA79" s="36" t="s">
        <v>6</v>
      </c>
      <c r="AB79" s="36" t="s">
        <v>6</v>
      </c>
      <c r="AC79" s="36" t="s">
        <v>6</v>
      </c>
      <c r="AD79" s="36" t="s">
        <v>6</v>
      </c>
      <c r="AE79" s="36" t="s">
        <v>6</v>
      </c>
      <c r="AF79" s="36" t="s">
        <v>25</v>
      </c>
      <c r="AG79" s="36"/>
      <c r="AH79" s="36"/>
      <c r="AI79" s="36"/>
      <c r="AJ79" s="36">
        <f t="shared" si="1"/>
        <v>22</v>
      </c>
      <c r="AK79" s="36">
        <f t="shared" si="2"/>
        <v>0</v>
      </c>
      <c r="AL79" s="36">
        <f t="shared" si="3"/>
        <v>0</v>
      </c>
      <c r="AM79" s="36">
        <f t="shared" si="4"/>
        <v>1</v>
      </c>
      <c r="AN79" s="36">
        <f t="shared" si="5"/>
        <v>1</v>
      </c>
      <c r="AO79" s="36">
        <f t="shared" si="6"/>
        <v>0</v>
      </c>
      <c r="AP79" s="36">
        <f t="shared" si="7"/>
        <v>0</v>
      </c>
      <c r="AQ79" s="36">
        <f t="shared" si="8"/>
        <v>0</v>
      </c>
      <c r="AR79" s="36">
        <v>1.0</v>
      </c>
      <c r="AS79" s="36">
        <f t="shared" si="9"/>
        <v>0</v>
      </c>
      <c r="AT79" s="36">
        <v>2.0</v>
      </c>
      <c r="AU79" s="36">
        <f t="shared" si="10"/>
        <v>0</v>
      </c>
      <c r="AV79" s="36">
        <v>2.0</v>
      </c>
      <c r="AW79" s="37">
        <f t="shared" si="11"/>
        <v>24</v>
      </c>
      <c r="AX79" s="37">
        <f t="shared" si="12"/>
        <v>24</v>
      </c>
      <c r="AY79" s="36"/>
    </row>
    <row r="80" ht="15.75" customHeight="1">
      <c r="A80" s="38"/>
      <c r="B80" s="24" t="s">
        <v>68</v>
      </c>
      <c r="C80" s="31" t="s">
        <v>69</v>
      </c>
      <c r="D80" s="32" t="s">
        <v>124</v>
      </c>
      <c r="E80" s="33" t="s">
        <v>6</v>
      </c>
      <c r="F80" s="33" t="s">
        <v>6</v>
      </c>
      <c r="G80" s="33" t="s">
        <v>6</v>
      </c>
      <c r="H80" s="33" t="s">
        <v>6</v>
      </c>
      <c r="I80" s="33" t="s">
        <v>6</v>
      </c>
      <c r="J80" s="33" t="s">
        <v>6</v>
      </c>
      <c r="K80" s="33" t="s">
        <v>25</v>
      </c>
      <c r="L80" s="33" t="s">
        <v>9</v>
      </c>
      <c r="M80" s="33" t="s">
        <v>10</v>
      </c>
      <c r="N80" s="33" t="s">
        <v>6</v>
      </c>
      <c r="O80" s="33" t="s">
        <v>6</v>
      </c>
      <c r="P80" s="33" t="s">
        <v>6</v>
      </c>
      <c r="Q80" s="33" t="s">
        <v>6</v>
      </c>
      <c r="R80" s="33" t="s">
        <v>25</v>
      </c>
      <c r="S80" s="33" t="s">
        <v>6</v>
      </c>
      <c r="T80" s="33" t="s">
        <v>6</v>
      </c>
      <c r="U80" s="33" t="s">
        <v>6</v>
      </c>
      <c r="V80" s="33" t="s">
        <v>6</v>
      </c>
      <c r="W80" s="33" t="s">
        <v>6</v>
      </c>
      <c r="X80" s="33" t="s">
        <v>6</v>
      </c>
      <c r="Y80" s="33" t="s">
        <v>25</v>
      </c>
      <c r="Z80" s="33" t="s">
        <v>6</v>
      </c>
      <c r="AA80" s="33" t="s">
        <v>6</v>
      </c>
      <c r="AB80" s="33" t="s">
        <v>6</v>
      </c>
      <c r="AC80" s="33" t="s">
        <v>6</v>
      </c>
      <c r="AD80" s="33" t="s">
        <v>6</v>
      </c>
      <c r="AE80" s="33" t="s">
        <v>6</v>
      </c>
      <c r="AF80" s="33" t="s">
        <v>25</v>
      </c>
      <c r="AG80" s="33"/>
      <c r="AH80" s="33"/>
      <c r="AI80" s="33"/>
      <c r="AJ80" s="33">
        <f t="shared" si="1"/>
        <v>22</v>
      </c>
      <c r="AK80" s="33">
        <f t="shared" si="2"/>
        <v>0</v>
      </c>
      <c r="AL80" s="33">
        <f t="shared" si="3"/>
        <v>0</v>
      </c>
      <c r="AM80" s="33">
        <f t="shared" si="4"/>
        <v>1</v>
      </c>
      <c r="AN80" s="33">
        <f t="shared" si="5"/>
        <v>1</v>
      </c>
      <c r="AO80" s="33">
        <f t="shared" si="6"/>
        <v>0</v>
      </c>
      <c r="AP80" s="33">
        <f t="shared" si="7"/>
        <v>0</v>
      </c>
      <c r="AQ80" s="33">
        <f t="shared" si="8"/>
        <v>0</v>
      </c>
      <c r="AR80" s="33">
        <v>1.0</v>
      </c>
      <c r="AS80" s="33">
        <f t="shared" si="9"/>
        <v>0</v>
      </c>
      <c r="AT80" s="33">
        <v>2.0</v>
      </c>
      <c r="AU80" s="33">
        <f t="shared" si="10"/>
        <v>0</v>
      </c>
      <c r="AV80" s="33">
        <v>2.0</v>
      </c>
      <c r="AW80" s="34">
        <f t="shared" si="11"/>
        <v>24</v>
      </c>
      <c r="AX80" s="34">
        <f t="shared" si="12"/>
        <v>24</v>
      </c>
      <c r="AY80" s="33"/>
    </row>
    <row r="81" ht="15.75" customHeight="1">
      <c r="A81" s="38"/>
      <c r="B81" s="18" t="s">
        <v>70</v>
      </c>
      <c r="C81" s="29" t="s">
        <v>71</v>
      </c>
      <c r="D81" s="35" t="s">
        <v>124</v>
      </c>
      <c r="E81" s="36" t="s">
        <v>6</v>
      </c>
      <c r="F81" s="36" t="s">
        <v>6</v>
      </c>
      <c r="G81" s="36" t="s">
        <v>6</v>
      </c>
      <c r="H81" s="36" t="s">
        <v>6</v>
      </c>
      <c r="I81" s="36" t="s">
        <v>6</v>
      </c>
      <c r="J81" s="36" t="s">
        <v>6</v>
      </c>
      <c r="K81" s="36" t="s">
        <v>25</v>
      </c>
      <c r="L81" s="36" t="s">
        <v>9</v>
      </c>
      <c r="M81" s="36" t="s">
        <v>10</v>
      </c>
      <c r="N81" s="36" t="s">
        <v>6</v>
      </c>
      <c r="O81" s="36" t="s">
        <v>6</v>
      </c>
      <c r="P81" s="36" t="s">
        <v>6</v>
      </c>
      <c r="Q81" s="36" t="s">
        <v>6</v>
      </c>
      <c r="R81" s="36" t="s">
        <v>25</v>
      </c>
      <c r="S81" s="36" t="s">
        <v>6</v>
      </c>
      <c r="T81" s="36" t="s">
        <v>6</v>
      </c>
      <c r="U81" s="36" t="s">
        <v>6</v>
      </c>
      <c r="V81" s="36" t="s">
        <v>6</v>
      </c>
      <c r="W81" s="36" t="s">
        <v>6</v>
      </c>
      <c r="X81" s="36" t="s">
        <v>6</v>
      </c>
      <c r="Y81" s="36" t="s">
        <v>25</v>
      </c>
      <c r="Z81" s="36" t="s">
        <v>6</v>
      </c>
      <c r="AA81" s="36" t="s">
        <v>6</v>
      </c>
      <c r="AB81" s="36" t="s">
        <v>6</v>
      </c>
      <c r="AC81" s="36" t="s">
        <v>6</v>
      </c>
      <c r="AD81" s="36" t="s">
        <v>6</v>
      </c>
      <c r="AE81" s="36" t="s">
        <v>6</v>
      </c>
      <c r="AF81" s="36" t="s">
        <v>25</v>
      </c>
      <c r="AG81" s="36"/>
      <c r="AH81" s="36"/>
      <c r="AI81" s="36"/>
      <c r="AJ81" s="36">
        <f t="shared" si="1"/>
        <v>22</v>
      </c>
      <c r="AK81" s="36">
        <f t="shared" si="2"/>
        <v>0</v>
      </c>
      <c r="AL81" s="36">
        <f t="shared" si="3"/>
        <v>0</v>
      </c>
      <c r="AM81" s="36">
        <f t="shared" si="4"/>
        <v>1</v>
      </c>
      <c r="AN81" s="36">
        <f t="shared" si="5"/>
        <v>1</v>
      </c>
      <c r="AO81" s="36">
        <f t="shared" si="6"/>
        <v>0</v>
      </c>
      <c r="AP81" s="36">
        <f t="shared" si="7"/>
        <v>0</v>
      </c>
      <c r="AQ81" s="36">
        <f t="shared" si="8"/>
        <v>0</v>
      </c>
      <c r="AR81" s="36">
        <v>1.0</v>
      </c>
      <c r="AS81" s="36">
        <f t="shared" si="9"/>
        <v>0</v>
      </c>
      <c r="AT81" s="36">
        <v>2.0</v>
      </c>
      <c r="AU81" s="36">
        <f t="shared" si="10"/>
        <v>0</v>
      </c>
      <c r="AV81" s="36">
        <v>2.0</v>
      </c>
      <c r="AW81" s="37">
        <f t="shared" si="11"/>
        <v>24</v>
      </c>
      <c r="AX81" s="37">
        <f t="shared" si="12"/>
        <v>24</v>
      </c>
      <c r="AY81" s="36"/>
    </row>
    <row r="82" ht="15.75" customHeight="1">
      <c r="A82" s="38"/>
      <c r="B82" s="24" t="s">
        <v>72</v>
      </c>
      <c r="C82" s="31" t="s">
        <v>73</v>
      </c>
      <c r="D82" s="32" t="s">
        <v>124</v>
      </c>
      <c r="E82" s="33" t="s">
        <v>6</v>
      </c>
      <c r="F82" s="33" t="s">
        <v>6</v>
      </c>
      <c r="G82" s="33" t="s">
        <v>6</v>
      </c>
      <c r="H82" s="33" t="s">
        <v>6</v>
      </c>
      <c r="I82" s="33" t="s">
        <v>6</v>
      </c>
      <c r="J82" s="33" t="s">
        <v>6</v>
      </c>
      <c r="K82" s="33" t="s">
        <v>25</v>
      </c>
      <c r="L82" s="33" t="s">
        <v>9</v>
      </c>
      <c r="M82" s="33" t="s">
        <v>10</v>
      </c>
      <c r="N82" s="33" t="s">
        <v>6</v>
      </c>
      <c r="O82" s="33" t="s">
        <v>6</v>
      </c>
      <c r="P82" s="33" t="s">
        <v>6</v>
      </c>
      <c r="Q82" s="33" t="s">
        <v>6</v>
      </c>
      <c r="R82" s="33" t="s">
        <v>25</v>
      </c>
      <c r="S82" s="33" t="s">
        <v>6</v>
      </c>
      <c r="T82" s="33" t="s">
        <v>6</v>
      </c>
      <c r="U82" s="33" t="s">
        <v>6</v>
      </c>
      <c r="V82" s="33" t="s">
        <v>6</v>
      </c>
      <c r="W82" s="33" t="s">
        <v>6</v>
      </c>
      <c r="X82" s="33" t="s">
        <v>6</v>
      </c>
      <c r="Y82" s="33" t="s">
        <v>25</v>
      </c>
      <c r="Z82" s="33" t="s">
        <v>6</v>
      </c>
      <c r="AA82" s="33" t="s">
        <v>6</v>
      </c>
      <c r="AB82" s="33" t="s">
        <v>6</v>
      </c>
      <c r="AC82" s="33" t="s">
        <v>6</v>
      </c>
      <c r="AD82" s="33" t="s">
        <v>8</v>
      </c>
      <c r="AE82" s="33" t="s">
        <v>6</v>
      </c>
      <c r="AF82" s="33" t="s">
        <v>25</v>
      </c>
      <c r="AG82" s="33"/>
      <c r="AH82" s="33"/>
      <c r="AI82" s="33"/>
      <c r="AJ82" s="33">
        <f t="shared" si="1"/>
        <v>21</v>
      </c>
      <c r="AK82" s="33">
        <f t="shared" si="2"/>
        <v>0</v>
      </c>
      <c r="AL82" s="33">
        <f t="shared" si="3"/>
        <v>1</v>
      </c>
      <c r="AM82" s="33">
        <f t="shared" si="4"/>
        <v>1</v>
      </c>
      <c r="AN82" s="33">
        <f t="shared" si="5"/>
        <v>1</v>
      </c>
      <c r="AO82" s="33">
        <f t="shared" si="6"/>
        <v>0</v>
      </c>
      <c r="AP82" s="33">
        <f t="shared" si="7"/>
        <v>0</v>
      </c>
      <c r="AQ82" s="33">
        <f t="shared" si="8"/>
        <v>0</v>
      </c>
      <c r="AR82" s="33">
        <v>1.0</v>
      </c>
      <c r="AS82" s="33">
        <f t="shared" si="9"/>
        <v>0</v>
      </c>
      <c r="AT82" s="33">
        <v>2.0</v>
      </c>
      <c r="AU82" s="33">
        <f t="shared" si="10"/>
        <v>0</v>
      </c>
      <c r="AV82" s="33">
        <v>2.0</v>
      </c>
      <c r="AW82" s="34">
        <f t="shared" si="11"/>
        <v>24</v>
      </c>
      <c r="AX82" s="34">
        <f t="shared" si="12"/>
        <v>24</v>
      </c>
      <c r="AY82" s="33"/>
    </row>
    <row r="83" ht="15.75" customHeight="1">
      <c r="A83" s="38"/>
      <c r="B83" s="18" t="s">
        <v>74</v>
      </c>
      <c r="C83" s="29" t="s">
        <v>75</v>
      </c>
      <c r="D83" s="35" t="s">
        <v>124</v>
      </c>
      <c r="E83" s="36" t="s">
        <v>6</v>
      </c>
      <c r="F83" s="36" t="s">
        <v>6</v>
      </c>
      <c r="G83" s="36" t="s">
        <v>6</v>
      </c>
      <c r="H83" s="36" t="s">
        <v>6</v>
      </c>
      <c r="I83" s="36" t="s">
        <v>6</v>
      </c>
      <c r="J83" s="36" t="s">
        <v>6</v>
      </c>
      <c r="K83" s="36" t="s">
        <v>25</v>
      </c>
      <c r="L83" s="36" t="s">
        <v>9</v>
      </c>
      <c r="M83" s="36" t="s">
        <v>10</v>
      </c>
      <c r="N83" s="36" t="s">
        <v>6</v>
      </c>
      <c r="O83" s="36" t="s">
        <v>6</v>
      </c>
      <c r="P83" s="36" t="s">
        <v>6</v>
      </c>
      <c r="Q83" s="36" t="s">
        <v>6</v>
      </c>
      <c r="R83" s="36" t="s">
        <v>25</v>
      </c>
      <c r="S83" s="36" t="s">
        <v>6</v>
      </c>
      <c r="T83" s="36" t="s">
        <v>6</v>
      </c>
      <c r="U83" s="36" t="s">
        <v>6</v>
      </c>
      <c r="V83" s="36" t="s">
        <v>6</v>
      </c>
      <c r="W83" s="36" t="s">
        <v>6</v>
      </c>
      <c r="X83" s="36" t="s">
        <v>6</v>
      </c>
      <c r="Y83" s="36" t="s">
        <v>25</v>
      </c>
      <c r="Z83" s="36" t="s">
        <v>6</v>
      </c>
      <c r="AA83" s="36" t="s">
        <v>6</v>
      </c>
      <c r="AB83" s="36" t="s">
        <v>6</v>
      </c>
      <c r="AC83" s="36" t="s">
        <v>6</v>
      </c>
      <c r="AD83" s="36" t="s">
        <v>6</v>
      </c>
      <c r="AE83" s="36" t="s">
        <v>6</v>
      </c>
      <c r="AF83" s="36" t="s">
        <v>25</v>
      </c>
      <c r="AG83" s="36"/>
      <c r="AH83" s="36"/>
      <c r="AI83" s="36"/>
      <c r="AJ83" s="36">
        <f t="shared" si="1"/>
        <v>22</v>
      </c>
      <c r="AK83" s="36">
        <f t="shared" si="2"/>
        <v>0</v>
      </c>
      <c r="AL83" s="36">
        <f t="shared" si="3"/>
        <v>0</v>
      </c>
      <c r="AM83" s="36">
        <f t="shared" si="4"/>
        <v>1</v>
      </c>
      <c r="AN83" s="36">
        <f t="shared" si="5"/>
        <v>1</v>
      </c>
      <c r="AO83" s="36">
        <f t="shared" si="6"/>
        <v>0</v>
      </c>
      <c r="AP83" s="36">
        <f t="shared" si="7"/>
        <v>0</v>
      </c>
      <c r="AQ83" s="36">
        <f t="shared" si="8"/>
        <v>0</v>
      </c>
      <c r="AR83" s="36">
        <v>1.0</v>
      </c>
      <c r="AS83" s="36">
        <f t="shared" si="9"/>
        <v>0</v>
      </c>
      <c r="AT83" s="36">
        <v>2.0</v>
      </c>
      <c r="AU83" s="36">
        <f t="shared" si="10"/>
        <v>0</v>
      </c>
      <c r="AV83" s="36">
        <v>2.0</v>
      </c>
      <c r="AW83" s="37">
        <f t="shared" si="11"/>
        <v>24</v>
      </c>
      <c r="AX83" s="37">
        <f t="shared" si="12"/>
        <v>24</v>
      </c>
      <c r="AY83" s="36"/>
    </row>
    <row r="84" ht="15.75" customHeight="1">
      <c r="A84" s="38"/>
      <c r="B84" s="24" t="s">
        <v>76</v>
      </c>
      <c r="C84" s="31" t="s">
        <v>77</v>
      </c>
      <c r="D84" s="32" t="s">
        <v>124</v>
      </c>
      <c r="E84" s="33" t="s">
        <v>6</v>
      </c>
      <c r="F84" s="33" t="s">
        <v>6</v>
      </c>
      <c r="G84" s="33" t="s">
        <v>6</v>
      </c>
      <c r="H84" s="33" t="s">
        <v>6</v>
      </c>
      <c r="I84" s="33" t="s">
        <v>6</v>
      </c>
      <c r="J84" s="33" t="s">
        <v>6</v>
      </c>
      <c r="K84" s="33" t="s">
        <v>25</v>
      </c>
      <c r="L84" s="33" t="s">
        <v>9</v>
      </c>
      <c r="M84" s="33" t="s">
        <v>10</v>
      </c>
      <c r="N84" s="33" t="s">
        <v>6</v>
      </c>
      <c r="O84" s="33" t="s">
        <v>6</v>
      </c>
      <c r="P84" s="33" t="s">
        <v>6</v>
      </c>
      <c r="Q84" s="33" t="s">
        <v>6</v>
      </c>
      <c r="R84" s="33" t="s">
        <v>25</v>
      </c>
      <c r="S84" s="33" t="s">
        <v>6</v>
      </c>
      <c r="T84" s="33" t="s">
        <v>6</v>
      </c>
      <c r="U84" s="33" t="s">
        <v>6</v>
      </c>
      <c r="V84" s="33" t="s">
        <v>6</v>
      </c>
      <c r="W84" s="33" t="s">
        <v>6</v>
      </c>
      <c r="X84" s="33" t="s">
        <v>6</v>
      </c>
      <c r="Y84" s="33" t="s">
        <v>25</v>
      </c>
      <c r="Z84" s="33" t="s">
        <v>6</v>
      </c>
      <c r="AA84" s="33" t="s">
        <v>6</v>
      </c>
      <c r="AB84" s="33" t="s">
        <v>6</v>
      </c>
      <c r="AC84" s="33" t="s">
        <v>6</v>
      </c>
      <c r="AD84" s="33" t="s">
        <v>6</v>
      </c>
      <c r="AE84" s="33" t="s">
        <v>6</v>
      </c>
      <c r="AF84" s="33" t="s">
        <v>25</v>
      </c>
      <c r="AG84" s="33"/>
      <c r="AH84" s="33"/>
      <c r="AI84" s="33"/>
      <c r="AJ84" s="33">
        <f t="shared" si="1"/>
        <v>22</v>
      </c>
      <c r="AK84" s="33">
        <f t="shared" si="2"/>
        <v>0</v>
      </c>
      <c r="AL84" s="33">
        <f t="shared" si="3"/>
        <v>0</v>
      </c>
      <c r="AM84" s="33">
        <f t="shared" si="4"/>
        <v>1</v>
      </c>
      <c r="AN84" s="33">
        <f t="shared" si="5"/>
        <v>1</v>
      </c>
      <c r="AO84" s="33">
        <f t="shared" si="6"/>
        <v>0</v>
      </c>
      <c r="AP84" s="33">
        <f t="shared" si="7"/>
        <v>0</v>
      </c>
      <c r="AQ84" s="33">
        <f t="shared" si="8"/>
        <v>0</v>
      </c>
      <c r="AR84" s="33">
        <v>1.0</v>
      </c>
      <c r="AS84" s="33">
        <f t="shared" si="9"/>
        <v>0</v>
      </c>
      <c r="AT84" s="33">
        <v>2.0</v>
      </c>
      <c r="AU84" s="33">
        <f t="shared" si="10"/>
        <v>0</v>
      </c>
      <c r="AV84" s="33">
        <v>2.0</v>
      </c>
      <c r="AW84" s="34">
        <f t="shared" si="11"/>
        <v>24</v>
      </c>
      <c r="AX84" s="34">
        <f t="shared" si="12"/>
        <v>24</v>
      </c>
      <c r="AY84" s="33"/>
    </row>
    <row r="85" ht="15.75" customHeight="1">
      <c r="A85" s="38"/>
      <c r="B85" s="18" t="s">
        <v>78</v>
      </c>
      <c r="C85" s="29" t="s">
        <v>79</v>
      </c>
      <c r="D85" s="35" t="s">
        <v>124</v>
      </c>
      <c r="E85" s="36" t="s">
        <v>6</v>
      </c>
      <c r="F85" s="36" t="s">
        <v>6</v>
      </c>
      <c r="G85" s="36" t="s">
        <v>6</v>
      </c>
      <c r="H85" s="36" t="s">
        <v>6</v>
      </c>
      <c r="I85" s="36" t="s">
        <v>6</v>
      </c>
      <c r="J85" s="36" t="s">
        <v>6</v>
      </c>
      <c r="K85" s="36" t="s">
        <v>25</v>
      </c>
      <c r="L85" s="36" t="s">
        <v>9</v>
      </c>
      <c r="M85" s="36" t="s">
        <v>10</v>
      </c>
      <c r="N85" s="36" t="s">
        <v>6</v>
      </c>
      <c r="O85" s="36" t="s">
        <v>6</v>
      </c>
      <c r="P85" s="36" t="s">
        <v>6</v>
      </c>
      <c r="Q85" s="36" t="s">
        <v>6</v>
      </c>
      <c r="R85" s="36" t="s">
        <v>25</v>
      </c>
      <c r="S85" s="36" t="s">
        <v>6</v>
      </c>
      <c r="T85" s="36" t="s">
        <v>6</v>
      </c>
      <c r="U85" s="36" t="s">
        <v>6</v>
      </c>
      <c r="V85" s="36" t="s">
        <v>6</v>
      </c>
      <c r="W85" s="36" t="s">
        <v>6</v>
      </c>
      <c r="X85" s="36" t="s">
        <v>6</v>
      </c>
      <c r="Y85" s="36" t="s">
        <v>25</v>
      </c>
      <c r="Z85" s="36" t="s">
        <v>6</v>
      </c>
      <c r="AA85" s="36" t="s">
        <v>6</v>
      </c>
      <c r="AB85" s="36" t="s">
        <v>6</v>
      </c>
      <c r="AC85" s="36" t="s">
        <v>6</v>
      </c>
      <c r="AD85" s="36" t="s">
        <v>8</v>
      </c>
      <c r="AE85" s="36" t="s">
        <v>6</v>
      </c>
      <c r="AF85" s="36" t="s">
        <v>25</v>
      </c>
      <c r="AG85" s="36"/>
      <c r="AH85" s="36"/>
      <c r="AI85" s="36"/>
      <c r="AJ85" s="36">
        <f t="shared" si="1"/>
        <v>21</v>
      </c>
      <c r="AK85" s="36">
        <f t="shared" si="2"/>
        <v>0</v>
      </c>
      <c r="AL85" s="36">
        <f t="shared" si="3"/>
        <v>1</v>
      </c>
      <c r="AM85" s="36">
        <f t="shared" si="4"/>
        <v>1</v>
      </c>
      <c r="AN85" s="36">
        <f t="shared" si="5"/>
        <v>1</v>
      </c>
      <c r="AO85" s="36">
        <f t="shared" si="6"/>
        <v>0</v>
      </c>
      <c r="AP85" s="36">
        <f t="shared" si="7"/>
        <v>0</v>
      </c>
      <c r="AQ85" s="36">
        <f t="shared" si="8"/>
        <v>0</v>
      </c>
      <c r="AR85" s="36">
        <v>1.0</v>
      </c>
      <c r="AS85" s="36">
        <f t="shared" si="9"/>
        <v>0</v>
      </c>
      <c r="AT85" s="36">
        <v>2.0</v>
      </c>
      <c r="AU85" s="36">
        <f t="shared" si="10"/>
        <v>0</v>
      </c>
      <c r="AV85" s="36">
        <v>2.0</v>
      </c>
      <c r="AW85" s="37">
        <f t="shared" si="11"/>
        <v>24</v>
      </c>
      <c r="AX85" s="37">
        <f t="shared" si="12"/>
        <v>24</v>
      </c>
      <c r="AY85" s="36"/>
    </row>
    <row r="86" ht="15.75" customHeight="1">
      <c r="A86" s="38"/>
      <c r="B86" s="24" t="s">
        <v>80</v>
      </c>
      <c r="C86" s="31" t="s">
        <v>81</v>
      </c>
      <c r="D86" s="32" t="s">
        <v>124</v>
      </c>
      <c r="E86" s="33" t="s">
        <v>6</v>
      </c>
      <c r="F86" s="33" t="s">
        <v>6</v>
      </c>
      <c r="G86" s="33" t="s">
        <v>6</v>
      </c>
      <c r="H86" s="33" t="s">
        <v>6</v>
      </c>
      <c r="I86" s="33" t="s">
        <v>6</v>
      </c>
      <c r="J86" s="33" t="s">
        <v>6</v>
      </c>
      <c r="K86" s="33" t="s">
        <v>25</v>
      </c>
      <c r="L86" s="33" t="s">
        <v>9</v>
      </c>
      <c r="M86" s="33" t="s">
        <v>10</v>
      </c>
      <c r="N86" s="33" t="s">
        <v>6</v>
      </c>
      <c r="O86" s="33" t="s">
        <v>6</v>
      </c>
      <c r="P86" s="33" t="s">
        <v>6</v>
      </c>
      <c r="Q86" s="33" t="s">
        <v>6</v>
      </c>
      <c r="R86" s="33" t="s">
        <v>25</v>
      </c>
      <c r="S86" s="33" t="s">
        <v>6</v>
      </c>
      <c r="T86" s="33" t="s">
        <v>6</v>
      </c>
      <c r="U86" s="33" t="s">
        <v>6</v>
      </c>
      <c r="V86" s="33" t="s">
        <v>6</v>
      </c>
      <c r="W86" s="33" t="s">
        <v>6</v>
      </c>
      <c r="X86" s="33" t="s">
        <v>6</v>
      </c>
      <c r="Y86" s="33" t="s">
        <v>25</v>
      </c>
      <c r="Z86" s="33" t="s">
        <v>6</v>
      </c>
      <c r="AA86" s="33" t="s">
        <v>6</v>
      </c>
      <c r="AB86" s="33" t="s">
        <v>6</v>
      </c>
      <c r="AC86" s="33" t="s">
        <v>6</v>
      </c>
      <c r="AD86" s="33" t="s">
        <v>6</v>
      </c>
      <c r="AE86" s="33" t="s">
        <v>6</v>
      </c>
      <c r="AF86" s="33" t="s">
        <v>25</v>
      </c>
      <c r="AG86" s="33"/>
      <c r="AH86" s="33"/>
      <c r="AI86" s="33"/>
      <c r="AJ86" s="33">
        <f t="shared" si="1"/>
        <v>22</v>
      </c>
      <c r="AK86" s="33">
        <f t="shared" si="2"/>
        <v>0</v>
      </c>
      <c r="AL86" s="33">
        <f t="shared" si="3"/>
        <v>0</v>
      </c>
      <c r="AM86" s="33">
        <f t="shared" si="4"/>
        <v>1</v>
      </c>
      <c r="AN86" s="33">
        <f t="shared" si="5"/>
        <v>1</v>
      </c>
      <c r="AO86" s="33">
        <f t="shared" si="6"/>
        <v>0</v>
      </c>
      <c r="AP86" s="33">
        <f t="shared" si="7"/>
        <v>0</v>
      </c>
      <c r="AQ86" s="33">
        <f t="shared" si="8"/>
        <v>0</v>
      </c>
      <c r="AR86" s="33">
        <v>1.0</v>
      </c>
      <c r="AS86" s="33">
        <f t="shared" si="9"/>
        <v>0</v>
      </c>
      <c r="AT86" s="33">
        <v>2.0</v>
      </c>
      <c r="AU86" s="33">
        <f t="shared" si="10"/>
        <v>0</v>
      </c>
      <c r="AV86" s="33">
        <v>2.0</v>
      </c>
      <c r="AW86" s="34">
        <f t="shared" si="11"/>
        <v>24</v>
      </c>
      <c r="AX86" s="34">
        <f t="shared" si="12"/>
        <v>24</v>
      </c>
      <c r="AY86" s="33"/>
    </row>
    <row r="87" ht="15.75" customHeight="1">
      <c r="A87" s="38"/>
      <c r="B87" s="18" t="s">
        <v>82</v>
      </c>
      <c r="C87" s="29" t="s">
        <v>83</v>
      </c>
      <c r="D87" s="35" t="s">
        <v>124</v>
      </c>
      <c r="E87" s="36" t="s">
        <v>6</v>
      </c>
      <c r="F87" s="36" t="s">
        <v>6</v>
      </c>
      <c r="G87" s="36" t="s">
        <v>6</v>
      </c>
      <c r="H87" s="36" t="s">
        <v>6</v>
      </c>
      <c r="I87" s="36" t="s">
        <v>6</v>
      </c>
      <c r="J87" s="36" t="s">
        <v>6</v>
      </c>
      <c r="K87" s="36" t="s">
        <v>25</v>
      </c>
      <c r="L87" s="36" t="s">
        <v>9</v>
      </c>
      <c r="M87" s="36" t="s">
        <v>10</v>
      </c>
      <c r="N87" s="36" t="s">
        <v>6</v>
      </c>
      <c r="O87" s="36" t="s">
        <v>6</v>
      </c>
      <c r="P87" s="36" t="s">
        <v>6</v>
      </c>
      <c r="Q87" s="36" t="s">
        <v>6</v>
      </c>
      <c r="R87" s="36" t="s">
        <v>25</v>
      </c>
      <c r="S87" s="36" t="s">
        <v>6</v>
      </c>
      <c r="T87" s="36" t="s">
        <v>6</v>
      </c>
      <c r="U87" s="36" t="s">
        <v>6</v>
      </c>
      <c r="V87" s="36" t="s">
        <v>6</v>
      </c>
      <c r="W87" s="36" t="s">
        <v>6</v>
      </c>
      <c r="X87" s="36" t="s">
        <v>6</v>
      </c>
      <c r="Y87" s="36" t="s">
        <v>25</v>
      </c>
      <c r="Z87" s="36" t="s">
        <v>6</v>
      </c>
      <c r="AA87" s="36" t="s">
        <v>6</v>
      </c>
      <c r="AB87" s="36" t="s">
        <v>6</v>
      </c>
      <c r="AC87" s="36" t="s">
        <v>6</v>
      </c>
      <c r="AD87" s="36" t="s">
        <v>6</v>
      </c>
      <c r="AE87" s="36" t="s">
        <v>6</v>
      </c>
      <c r="AF87" s="36" t="s">
        <v>25</v>
      </c>
      <c r="AG87" s="36"/>
      <c r="AH87" s="36"/>
      <c r="AI87" s="36"/>
      <c r="AJ87" s="36">
        <f t="shared" si="1"/>
        <v>22</v>
      </c>
      <c r="AK87" s="36">
        <f t="shared" si="2"/>
        <v>0</v>
      </c>
      <c r="AL87" s="36">
        <f t="shared" si="3"/>
        <v>0</v>
      </c>
      <c r="AM87" s="36">
        <f t="shared" si="4"/>
        <v>1</v>
      </c>
      <c r="AN87" s="36">
        <f t="shared" si="5"/>
        <v>1</v>
      </c>
      <c r="AO87" s="36">
        <f t="shared" si="6"/>
        <v>0</v>
      </c>
      <c r="AP87" s="36">
        <f t="shared" si="7"/>
        <v>0</v>
      </c>
      <c r="AQ87" s="36">
        <f t="shared" si="8"/>
        <v>0</v>
      </c>
      <c r="AR87" s="36">
        <v>1.0</v>
      </c>
      <c r="AS87" s="36">
        <f t="shared" si="9"/>
        <v>0</v>
      </c>
      <c r="AT87" s="36">
        <v>2.0</v>
      </c>
      <c r="AU87" s="36">
        <f t="shared" si="10"/>
        <v>0</v>
      </c>
      <c r="AV87" s="36">
        <v>2.0</v>
      </c>
      <c r="AW87" s="37">
        <f t="shared" si="11"/>
        <v>24</v>
      </c>
      <c r="AX87" s="37">
        <f t="shared" si="12"/>
        <v>24</v>
      </c>
      <c r="AY87" s="36"/>
    </row>
    <row r="88" ht="15.75" customHeight="1">
      <c r="A88" s="38"/>
      <c r="B88" s="24" t="s">
        <v>84</v>
      </c>
      <c r="C88" s="31" t="s">
        <v>85</v>
      </c>
      <c r="D88" s="32" t="s">
        <v>124</v>
      </c>
      <c r="E88" s="33" t="s">
        <v>6</v>
      </c>
      <c r="F88" s="33" t="s">
        <v>6</v>
      </c>
      <c r="G88" s="33" t="s">
        <v>6</v>
      </c>
      <c r="H88" s="33" t="s">
        <v>6</v>
      </c>
      <c r="I88" s="33" t="s">
        <v>6</v>
      </c>
      <c r="J88" s="33" t="s">
        <v>6</v>
      </c>
      <c r="K88" s="33" t="s">
        <v>25</v>
      </c>
      <c r="L88" s="33" t="s">
        <v>9</v>
      </c>
      <c r="M88" s="33" t="s">
        <v>10</v>
      </c>
      <c r="N88" s="33" t="s">
        <v>6</v>
      </c>
      <c r="O88" s="33" t="s">
        <v>6</v>
      </c>
      <c r="P88" s="33" t="s">
        <v>6</v>
      </c>
      <c r="Q88" s="33" t="s">
        <v>6</v>
      </c>
      <c r="R88" s="33" t="s">
        <v>25</v>
      </c>
      <c r="S88" s="33" t="s">
        <v>6</v>
      </c>
      <c r="T88" s="33" t="s">
        <v>6</v>
      </c>
      <c r="U88" s="33" t="s">
        <v>6</v>
      </c>
      <c r="V88" s="33" t="s">
        <v>6</v>
      </c>
      <c r="W88" s="33" t="s">
        <v>6</v>
      </c>
      <c r="X88" s="33" t="s">
        <v>6</v>
      </c>
      <c r="Y88" s="33" t="s">
        <v>25</v>
      </c>
      <c r="Z88" s="33" t="s">
        <v>6</v>
      </c>
      <c r="AA88" s="33" t="s">
        <v>6</v>
      </c>
      <c r="AB88" s="33" t="s">
        <v>6</v>
      </c>
      <c r="AC88" s="33" t="s">
        <v>6</v>
      </c>
      <c r="AD88" s="33" t="s">
        <v>6</v>
      </c>
      <c r="AE88" s="33" t="s">
        <v>6</v>
      </c>
      <c r="AF88" s="33" t="s">
        <v>25</v>
      </c>
      <c r="AG88" s="33"/>
      <c r="AH88" s="33"/>
      <c r="AI88" s="33"/>
      <c r="AJ88" s="33">
        <f t="shared" si="1"/>
        <v>22</v>
      </c>
      <c r="AK88" s="33">
        <f t="shared" si="2"/>
        <v>0</v>
      </c>
      <c r="AL88" s="33">
        <f t="shared" si="3"/>
        <v>0</v>
      </c>
      <c r="AM88" s="33">
        <f t="shared" si="4"/>
        <v>1</v>
      </c>
      <c r="AN88" s="33">
        <f t="shared" si="5"/>
        <v>1</v>
      </c>
      <c r="AO88" s="33">
        <f t="shared" si="6"/>
        <v>0</v>
      </c>
      <c r="AP88" s="33">
        <f t="shared" si="7"/>
        <v>0</v>
      </c>
      <c r="AQ88" s="33">
        <f t="shared" si="8"/>
        <v>0</v>
      </c>
      <c r="AR88" s="33">
        <v>1.0</v>
      </c>
      <c r="AS88" s="33">
        <f t="shared" si="9"/>
        <v>0</v>
      </c>
      <c r="AT88" s="33">
        <v>2.0</v>
      </c>
      <c r="AU88" s="33">
        <f t="shared" si="10"/>
        <v>0</v>
      </c>
      <c r="AV88" s="33">
        <v>2.0</v>
      </c>
      <c r="AW88" s="34">
        <f t="shared" si="11"/>
        <v>24</v>
      </c>
      <c r="AX88" s="34">
        <f t="shared" si="12"/>
        <v>24</v>
      </c>
      <c r="AY88" s="33"/>
    </row>
    <row r="89" ht="15.75" customHeight="1">
      <c r="A89" s="38"/>
      <c r="B89" s="18" t="s">
        <v>86</v>
      </c>
      <c r="C89" s="29" t="s">
        <v>87</v>
      </c>
      <c r="D89" s="35" t="s">
        <v>124</v>
      </c>
      <c r="E89" s="36" t="s">
        <v>6</v>
      </c>
      <c r="F89" s="36" t="s">
        <v>6</v>
      </c>
      <c r="G89" s="36" t="s">
        <v>6</v>
      </c>
      <c r="H89" s="36" t="s">
        <v>6</v>
      </c>
      <c r="I89" s="36" t="s">
        <v>6</v>
      </c>
      <c r="J89" s="36" t="s">
        <v>6</v>
      </c>
      <c r="K89" s="36" t="s">
        <v>25</v>
      </c>
      <c r="L89" s="36" t="s">
        <v>9</v>
      </c>
      <c r="M89" s="36" t="s">
        <v>10</v>
      </c>
      <c r="N89" s="36" t="s">
        <v>6</v>
      </c>
      <c r="O89" s="36" t="s">
        <v>6</v>
      </c>
      <c r="P89" s="36" t="s">
        <v>6</v>
      </c>
      <c r="Q89" s="36" t="s">
        <v>6</v>
      </c>
      <c r="R89" s="36" t="s">
        <v>25</v>
      </c>
      <c r="S89" s="36" t="s">
        <v>6</v>
      </c>
      <c r="T89" s="36" t="s">
        <v>6</v>
      </c>
      <c r="U89" s="36" t="s">
        <v>6</v>
      </c>
      <c r="V89" s="36" t="s">
        <v>6</v>
      </c>
      <c r="W89" s="36" t="s">
        <v>6</v>
      </c>
      <c r="X89" s="36" t="s">
        <v>6</v>
      </c>
      <c r="Y89" s="36" t="s">
        <v>25</v>
      </c>
      <c r="Z89" s="36" t="s">
        <v>6</v>
      </c>
      <c r="AA89" s="36" t="s">
        <v>6</v>
      </c>
      <c r="AB89" s="36" t="s">
        <v>6</v>
      </c>
      <c r="AC89" s="36" t="s">
        <v>6</v>
      </c>
      <c r="AD89" s="36" t="s">
        <v>6</v>
      </c>
      <c r="AE89" s="36" t="s">
        <v>6</v>
      </c>
      <c r="AF89" s="36" t="s">
        <v>25</v>
      </c>
      <c r="AG89" s="36"/>
      <c r="AH89" s="36"/>
      <c r="AI89" s="36"/>
      <c r="AJ89" s="36">
        <f t="shared" si="1"/>
        <v>22</v>
      </c>
      <c r="AK89" s="36">
        <f t="shared" si="2"/>
        <v>0</v>
      </c>
      <c r="AL89" s="36">
        <f t="shared" si="3"/>
        <v>0</v>
      </c>
      <c r="AM89" s="36">
        <f t="shared" si="4"/>
        <v>1</v>
      </c>
      <c r="AN89" s="36">
        <f t="shared" si="5"/>
        <v>1</v>
      </c>
      <c r="AO89" s="36">
        <f t="shared" si="6"/>
        <v>0</v>
      </c>
      <c r="AP89" s="36">
        <f t="shared" si="7"/>
        <v>0</v>
      </c>
      <c r="AQ89" s="36">
        <f t="shared" si="8"/>
        <v>0</v>
      </c>
      <c r="AR89" s="36">
        <v>1.0</v>
      </c>
      <c r="AS89" s="36">
        <f t="shared" si="9"/>
        <v>0</v>
      </c>
      <c r="AT89" s="36">
        <v>2.0</v>
      </c>
      <c r="AU89" s="36">
        <f t="shared" si="10"/>
        <v>0</v>
      </c>
      <c r="AV89" s="36">
        <v>2.0</v>
      </c>
      <c r="AW89" s="37">
        <f t="shared" si="11"/>
        <v>24</v>
      </c>
      <c r="AX89" s="37">
        <f t="shared" si="12"/>
        <v>24</v>
      </c>
      <c r="AY89" s="36"/>
    </row>
    <row r="90" ht="15.75" customHeight="1">
      <c r="A90" s="38"/>
      <c r="B90" s="24" t="s">
        <v>88</v>
      </c>
      <c r="C90" s="31" t="s">
        <v>89</v>
      </c>
      <c r="D90" s="32" t="s">
        <v>124</v>
      </c>
      <c r="E90" s="33" t="s">
        <v>6</v>
      </c>
      <c r="F90" s="33" t="s">
        <v>6</v>
      </c>
      <c r="G90" s="33" t="s">
        <v>6</v>
      </c>
      <c r="H90" s="33" t="s">
        <v>6</v>
      </c>
      <c r="I90" s="33" t="s">
        <v>6</v>
      </c>
      <c r="J90" s="33" t="s">
        <v>6</v>
      </c>
      <c r="K90" s="33" t="s">
        <v>25</v>
      </c>
      <c r="L90" s="33" t="s">
        <v>9</v>
      </c>
      <c r="M90" s="33" t="s">
        <v>10</v>
      </c>
      <c r="N90" s="33" t="s">
        <v>6</v>
      </c>
      <c r="O90" s="33" t="s">
        <v>6</v>
      </c>
      <c r="P90" s="33" t="s">
        <v>6</v>
      </c>
      <c r="Q90" s="33" t="s">
        <v>6</v>
      </c>
      <c r="R90" s="33" t="s">
        <v>25</v>
      </c>
      <c r="S90" s="33" t="s">
        <v>6</v>
      </c>
      <c r="T90" s="33" t="s">
        <v>6</v>
      </c>
      <c r="U90" s="33" t="s">
        <v>6</v>
      </c>
      <c r="V90" s="33" t="s">
        <v>6</v>
      </c>
      <c r="W90" s="33" t="s">
        <v>6</v>
      </c>
      <c r="X90" s="33" t="s">
        <v>6</v>
      </c>
      <c r="Y90" s="33" t="s">
        <v>25</v>
      </c>
      <c r="Z90" s="33" t="s">
        <v>6</v>
      </c>
      <c r="AA90" s="33" t="s">
        <v>6</v>
      </c>
      <c r="AB90" s="33" t="s">
        <v>6</v>
      </c>
      <c r="AC90" s="33" t="s">
        <v>6</v>
      </c>
      <c r="AD90" s="33" t="s">
        <v>6</v>
      </c>
      <c r="AE90" s="33" t="s">
        <v>6</v>
      </c>
      <c r="AF90" s="33" t="s">
        <v>25</v>
      </c>
      <c r="AG90" s="33"/>
      <c r="AH90" s="33"/>
      <c r="AI90" s="33"/>
      <c r="AJ90" s="33">
        <f t="shared" si="1"/>
        <v>22</v>
      </c>
      <c r="AK90" s="33">
        <f t="shared" si="2"/>
        <v>0</v>
      </c>
      <c r="AL90" s="33">
        <f t="shared" si="3"/>
        <v>0</v>
      </c>
      <c r="AM90" s="33">
        <f t="shared" si="4"/>
        <v>1</v>
      </c>
      <c r="AN90" s="33">
        <f t="shared" si="5"/>
        <v>1</v>
      </c>
      <c r="AO90" s="33">
        <f t="shared" si="6"/>
        <v>0</v>
      </c>
      <c r="AP90" s="33">
        <f t="shared" si="7"/>
        <v>0</v>
      </c>
      <c r="AQ90" s="33">
        <f t="shared" si="8"/>
        <v>0</v>
      </c>
      <c r="AR90" s="33">
        <v>1.0</v>
      </c>
      <c r="AS90" s="33">
        <f t="shared" si="9"/>
        <v>0</v>
      </c>
      <c r="AT90" s="33">
        <v>2.0</v>
      </c>
      <c r="AU90" s="33">
        <f t="shared" si="10"/>
        <v>0</v>
      </c>
      <c r="AV90" s="33">
        <v>2.0</v>
      </c>
      <c r="AW90" s="34">
        <f t="shared" si="11"/>
        <v>24</v>
      </c>
      <c r="AX90" s="34">
        <f t="shared" si="12"/>
        <v>24</v>
      </c>
      <c r="AY90" s="33"/>
    </row>
    <row r="91" ht="15.75" customHeight="1">
      <c r="A91" s="38"/>
      <c r="B91" s="18" t="s">
        <v>90</v>
      </c>
      <c r="C91" s="29" t="s">
        <v>91</v>
      </c>
      <c r="D91" s="35" t="s">
        <v>124</v>
      </c>
      <c r="E91" s="36" t="s">
        <v>6</v>
      </c>
      <c r="F91" s="36" t="s">
        <v>6</v>
      </c>
      <c r="G91" s="36" t="s">
        <v>6</v>
      </c>
      <c r="H91" s="36" t="s">
        <v>6</v>
      </c>
      <c r="I91" s="36" t="s">
        <v>6</v>
      </c>
      <c r="J91" s="36" t="s">
        <v>6</v>
      </c>
      <c r="K91" s="36" t="s">
        <v>25</v>
      </c>
      <c r="L91" s="36" t="s">
        <v>9</v>
      </c>
      <c r="M91" s="36" t="s">
        <v>10</v>
      </c>
      <c r="N91" s="36" t="s">
        <v>6</v>
      </c>
      <c r="O91" s="36" t="s">
        <v>6</v>
      </c>
      <c r="P91" s="36" t="s">
        <v>6</v>
      </c>
      <c r="Q91" s="36" t="s">
        <v>6</v>
      </c>
      <c r="R91" s="36" t="s">
        <v>25</v>
      </c>
      <c r="S91" s="36" t="s">
        <v>6</v>
      </c>
      <c r="T91" s="36" t="s">
        <v>6</v>
      </c>
      <c r="U91" s="36" t="s">
        <v>6</v>
      </c>
      <c r="V91" s="36" t="s">
        <v>6</v>
      </c>
      <c r="W91" s="36" t="s">
        <v>6</v>
      </c>
      <c r="X91" s="36" t="s">
        <v>6</v>
      </c>
      <c r="Y91" s="36" t="s">
        <v>25</v>
      </c>
      <c r="Z91" s="36" t="s">
        <v>6</v>
      </c>
      <c r="AA91" s="36" t="s">
        <v>6</v>
      </c>
      <c r="AB91" s="36" t="s">
        <v>6</v>
      </c>
      <c r="AC91" s="36" t="s">
        <v>6</v>
      </c>
      <c r="AD91" s="36" t="s">
        <v>6</v>
      </c>
      <c r="AE91" s="36" t="s">
        <v>6</v>
      </c>
      <c r="AF91" s="36" t="s">
        <v>25</v>
      </c>
      <c r="AG91" s="36"/>
      <c r="AH91" s="36"/>
      <c r="AI91" s="36"/>
      <c r="AJ91" s="36">
        <f t="shared" si="1"/>
        <v>22</v>
      </c>
      <c r="AK91" s="36">
        <f t="shared" si="2"/>
        <v>0</v>
      </c>
      <c r="AL91" s="36">
        <f t="shared" si="3"/>
        <v>0</v>
      </c>
      <c r="AM91" s="36">
        <f t="shared" si="4"/>
        <v>1</v>
      </c>
      <c r="AN91" s="36">
        <f t="shared" si="5"/>
        <v>1</v>
      </c>
      <c r="AO91" s="36">
        <f t="shared" si="6"/>
        <v>0</v>
      </c>
      <c r="AP91" s="36">
        <f t="shared" si="7"/>
        <v>0</v>
      </c>
      <c r="AQ91" s="36">
        <f t="shared" si="8"/>
        <v>0</v>
      </c>
      <c r="AR91" s="36">
        <v>1.0</v>
      </c>
      <c r="AS91" s="36">
        <f t="shared" si="9"/>
        <v>0</v>
      </c>
      <c r="AT91" s="36">
        <v>2.0</v>
      </c>
      <c r="AU91" s="36">
        <f t="shared" si="10"/>
        <v>0</v>
      </c>
      <c r="AV91" s="36">
        <v>2.0</v>
      </c>
      <c r="AW91" s="37">
        <f t="shared" si="11"/>
        <v>24</v>
      </c>
      <c r="AX91" s="37">
        <f t="shared" si="12"/>
        <v>24</v>
      </c>
      <c r="AY91" s="36"/>
    </row>
    <row r="92" ht="15.75" customHeight="1">
      <c r="A92" s="38"/>
      <c r="B92" s="24" t="s">
        <v>92</v>
      </c>
      <c r="C92" s="31" t="s">
        <v>93</v>
      </c>
      <c r="D92" s="32" t="s">
        <v>124</v>
      </c>
      <c r="E92" s="33" t="s">
        <v>6</v>
      </c>
      <c r="F92" s="33" t="s">
        <v>6</v>
      </c>
      <c r="G92" s="33" t="s">
        <v>6</v>
      </c>
      <c r="H92" s="33" t="s">
        <v>6</v>
      </c>
      <c r="I92" s="33" t="s">
        <v>6</v>
      </c>
      <c r="J92" s="33" t="s">
        <v>6</v>
      </c>
      <c r="K92" s="33" t="s">
        <v>25</v>
      </c>
      <c r="L92" s="33" t="s">
        <v>9</v>
      </c>
      <c r="M92" s="33" t="s">
        <v>10</v>
      </c>
      <c r="N92" s="33" t="s">
        <v>6</v>
      </c>
      <c r="O92" s="33" t="s">
        <v>6</v>
      </c>
      <c r="P92" s="33" t="s">
        <v>6</v>
      </c>
      <c r="Q92" s="33" t="s">
        <v>6</v>
      </c>
      <c r="R92" s="33" t="s">
        <v>25</v>
      </c>
      <c r="S92" s="33" t="s">
        <v>6</v>
      </c>
      <c r="T92" s="33" t="s">
        <v>6</v>
      </c>
      <c r="U92" s="33" t="s">
        <v>6</v>
      </c>
      <c r="V92" s="33" t="s">
        <v>6</v>
      </c>
      <c r="W92" s="33" t="s">
        <v>6</v>
      </c>
      <c r="X92" s="33" t="s">
        <v>6</v>
      </c>
      <c r="Y92" s="33" t="s">
        <v>25</v>
      </c>
      <c r="Z92" s="33" t="s">
        <v>6</v>
      </c>
      <c r="AA92" s="33" t="s">
        <v>6</v>
      </c>
      <c r="AB92" s="33" t="s">
        <v>6</v>
      </c>
      <c r="AC92" s="33" t="s">
        <v>6</v>
      </c>
      <c r="AD92" s="33" t="s">
        <v>6</v>
      </c>
      <c r="AE92" s="33" t="s">
        <v>6</v>
      </c>
      <c r="AF92" s="33" t="s">
        <v>25</v>
      </c>
      <c r="AG92" s="33"/>
      <c r="AH92" s="33"/>
      <c r="AI92" s="33"/>
      <c r="AJ92" s="33">
        <f t="shared" si="1"/>
        <v>22</v>
      </c>
      <c r="AK92" s="33">
        <f t="shared" si="2"/>
        <v>0</v>
      </c>
      <c r="AL92" s="33">
        <f t="shared" si="3"/>
        <v>0</v>
      </c>
      <c r="AM92" s="33">
        <f t="shared" si="4"/>
        <v>1</v>
      </c>
      <c r="AN92" s="33">
        <f t="shared" si="5"/>
        <v>1</v>
      </c>
      <c r="AO92" s="33">
        <f t="shared" si="6"/>
        <v>0</v>
      </c>
      <c r="AP92" s="33">
        <f t="shared" si="7"/>
        <v>0</v>
      </c>
      <c r="AQ92" s="33">
        <f t="shared" si="8"/>
        <v>0</v>
      </c>
      <c r="AR92" s="33">
        <v>1.0</v>
      </c>
      <c r="AS92" s="33">
        <f t="shared" si="9"/>
        <v>0</v>
      </c>
      <c r="AT92" s="33">
        <v>2.0</v>
      </c>
      <c r="AU92" s="33">
        <f t="shared" si="10"/>
        <v>0</v>
      </c>
      <c r="AV92" s="33">
        <v>2.0</v>
      </c>
      <c r="AW92" s="34">
        <f t="shared" si="11"/>
        <v>24</v>
      </c>
      <c r="AX92" s="34">
        <f t="shared" si="12"/>
        <v>24</v>
      </c>
      <c r="AY92" s="33"/>
    </row>
    <row r="93" ht="15.75" customHeight="1">
      <c r="A93" s="38"/>
      <c r="B93" s="18" t="s">
        <v>94</v>
      </c>
      <c r="C93" s="29" t="s">
        <v>95</v>
      </c>
      <c r="D93" s="35" t="s">
        <v>124</v>
      </c>
      <c r="E93" s="36" t="s">
        <v>6</v>
      </c>
      <c r="F93" s="36" t="s">
        <v>6</v>
      </c>
      <c r="G93" s="36" t="s">
        <v>6</v>
      </c>
      <c r="H93" s="36" t="s">
        <v>6</v>
      </c>
      <c r="I93" s="36" t="s">
        <v>6</v>
      </c>
      <c r="J93" s="36" t="s">
        <v>6</v>
      </c>
      <c r="K93" s="36" t="s">
        <v>25</v>
      </c>
      <c r="L93" s="36" t="s">
        <v>9</v>
      </c>
      <c r="M93" s="36" t="s">
        <v>10</v>
      </c>
      <c r="N93" s="36" t="s">
        <v>6</v>
      </c>
      <c r="O93" s="36" t="s">
        <v>6</v>
      </c>
      <c r="P93" s="36" t="s">
        <v>6</v>
      </c>
      <c r="Q93" s="36" t="s">
        <v>6</v>
      </c>
      <c r="R93" s="36" t="s">
        <v>25</v>
      </c>
      <c r="S93" s="36" t="s">
        <v>6</v>
      </c>
      <c r="T93" s="36" t="s">
        <v>6</v>
      </c>
      <c r="U93" s="36" t="s">
        <v>6</v>
      </c>
      <c r="V93" s="36" t="s">
        <v>6</v>
      </c>
      <c r="W93" s="36" t="s">
        <v>6</v>
      </c>
      <c r="X93" s="36" t="s">
        <v>6</v>
      </c>
      <c r="Y93" s="36" t="s">
        <v>25</v>
      </c>
      <c r="Z93" s="36" t="s">
        <v>6</v>
      </c>
      <c r="AA93" s="36" t="s">
        <v>6</v>
      </c>
      <c r="AB93" s="36" t="s">
        <v>6</v>
      </c>
      <c r="AC93" s="36" t="s">
        <v>6</v>
      </c>
      <c r="AD93" s="36" t="s">
        <v>6</v>
      </c>
      <c r="AE93" s="36" t="s">
        <v>6</v>
      </c>
      <c r="AF93" s="36" t="s">
        <v>25</v>
      </c>
      <c r="AG93" s="36"/>
      <c r="AH93" s="36"/>
      <c r="AI93" s="36"/>
      <c r="AJ93" s="36">
        <f t="shared" si="1"/>
        <v>22</v>
      </c>
      <c r="AK93" s="36">
        <f t="shared" si="2"/>
        <v>0</v>
      </c>
      <c r="AL93" s="36">
        <f t="shared" si="3"/>
        <v>0</v>
      </c>
      <c r="AM93" s="36">
        <f t="shared" si="4"/>
        <v>1</v>
      </c>
      <c r="AN93" s="36">
        <f t="shared" si="5"/>
        <v>1</v>
      </c>
      <c r="AO93" s="36">
        <f t="shared" si="6"/>
        <v>0</v>
      </c>
      <c r="AP93" s="36">
        <f t="shared" si="7"/>
        <v>0</v>
      </c>
      <c r="AQ93" s="36">
        <f t="shared" si="8"/>
        <v>0</v>
      </c>
      <c r="AR93" s="36">
        <v>1.0</v>
      </c>
      <c r="AS93" s="36">
        <f t="shared" si="9"/>
        <v>0</v>
      </c>
      <c r="AT93" s="36">
        <v>2.0</v>
      </c>
      <c r="AU93" s="36">
        <f t="shared" si="10"/>
        <v>0</v>
      </c>
      <c r="AV93" s="36">
        <v>2.0</v>
      </c>
      <c r="AW93" s="37">
        <f t="shared" si="11"/>
        <v>24</v>
      </c>
      <c r="AX93" s="37">
        <f t="shared" si="12"/>
        <v>24</v>
      </c>
      <c r="AY93" s="36"/>
    </row>
    <row r="94" ht="15.75" customHeight="1">
      <c r="A94" s="38"/>
      <c r="B94" s="24" t="s">
        <v>96</v>
      </c>
      <c r="C94" s="31" t="s">
        <v>97</v>
      </c>
      <c r="D94" s="32" t="s">
        <v>124</v>
      </c>
      <c r="E94" s="33" t="s">
        <v>6</v>
      </c>
      <c r="F94" s="33" t="s">
        <v>6</v>
      </c>
      <c r="G94" s="33" t="s">
        <v>6</v>
      </c>
      <c r="H94" s="33" t="s">
        <v>6</v>
      </c>
      <c r="I94" s="33" t="s">
        <v>6</v>
      </c>
      <c r="J94" s="33" t="s">
        <v>6</v>
      </c>
      <c r="K94" s="33" t="s">
        <v>25</v>
      </c>
      <c r="L94" s="33" t="s">
        <v>9</v>
      </c>
      <c r="M94" s="33" t="s">
        <v>10</v>
      </c>
      <c r="N94" s="33" t="s">
        <v>6</v>
      </c>
      <c r="O94" s="33" t="s">
        <v>6</v>
      </c>
      <c r="P94" s="33" t="s">
        <v>6</v>
      </c>
      <c r="Q94" s="33" t="s">
        <v>6</v>
      </c>
      <c r="R94" s="33" t="s">
        <v>25</v>
      </c>
      <c r="S94" s="33" t="s">
        <v>6</v>
      </c>
      <c r="T94" s="33" t="s">
        <v>6</v>
      </c>
      <c r="U94" s="33" t="s">
        <v>6</v>
      </c>
      <c r="V94" s="33" t="s">
        <v>6</v>
      </c>
      <c r="W94" s="33" t="s">
        <v>6</v>
      </c>
      <c r="X94" s="33" t="s">
        <v>6</v>
      </c>
      <c r="Y94" s="33" t="s">
        <v>25</v>
      </c>
      <c r="Z94" s="33" t="s">
        <v>6</v>
      </c>
      <c r="AA94" s="33" t="s">
        <v>6</v>
      </c>
      <c r="AB94" s="33" t="s">
        <v>6</v>
      </c>
      <c r="AC94" s="33" t="s">
        <v>6</v>
      </c>
      <c r="AD94" s="33" t="s">
        <v>6</v>
      </c>
      <c r="AE94" s="33" t="s">
        <v>6</v>
      </c>
      <c r="AF94" s="33" t="s">
        <v>25</v>
      </c>
      <c r="AG94" s="33"/>
      <c r="AH94" s="33"/>
      <c r="AI94" s="33"/>
      <c r="AJ94" s="33">
        <f t="shared" si="1"/>
        <v>22</v>
      </c>
      <c r="AK94" s="33">
        <f t="shared" si="2"/>
        <v>0</v>
      </c>
      <c r="AL94" s="33">
        <f t="shared" si="3"/>
        <v>0</v>
      </c>
      <c r="AM94" s="33">
        <f t="shared" si="4"/>
        <v>1</v>
      </c>
      <c r="AN94" s="33">
        <f t="shared" si="5"/>
        <v>1</v>
      </c>
      <c r="AO94" s="33">
        <f t="shared" si="6"/>
        <v>0</v>
      </c>
      <c r="AP94" s="33">
        <f t="shared" si="7"/>
        <v>0</v>
      </c>
      <c r="AQ94" s="33">
        <f t="shared" si="8"/>
        <v>0</v>
      </c>
      <c r="AR94" s="33">
        <v>1.0</v>
      </c>
      <c r="AS94" s="33">
        <f t="shared" si="9"/>
        <v>0</v>
      </c>
      <c r="AT94" s="33">
        <v>2.0</v>
      </c>
      <c r="AU94" s="33">
        <f t="shared" si="10"/>
        <v>0</v>
      </c>
      <c r="AV94" s="33">
        <v>2.0</v>
      </c>
      <c r="AW94" s="34">
        <f t="shared" si="11"/>
        <v>24</v>
      </c>
      <c r="AX94" s="34">
        <f t="shared" si="12"/>
        <v>24</v>
      </c>
      <c r="AY94" s="33"/>
    </row>
    <row r="95" ht="15.75" customHeight="1">
      <c r="A95" s="38"/>
      <c r="B95" s="18" t="s">
        <v>98</v>
      </c>
      <c r="C95" s="29" t="s">
        <v>99</v>
      </c>
      <c r="D95" s="35" t="s">
        <v>124</v>
      </c>
      <c r="E95" s="36" t="s">
        <v>6</v>
      </c>
      <c r="F95" s="36" t="s">
        <v>6</v>
      </c>
      <c r="G95" s="36" t="s">
        <v>6</v>
      </c>
      <c r="H95" s="36" t="s">
        <v>6</v>
      </c>
      <c r="I95" s="36" t="s">
        <v>6</v>
      </c>
      <c r="J95" s="36" t="s">
        <v>6</v>
      </c>
      <c r="K95" s="36" t="s">
        <v>25</v>
      </c>
      <c r="L95" s="36" t="s">
        <v>9</v>
      </c>
      <c r="M95" s="36" t="s">
        <v>10</v>
      </c>
      <c r="N95" s="36" t="s">
        <v>6</v>
      </c>
      <c r="O95" s="36" t="s">
        <v>6</v>
      </c>
      <c r="P95" s="36" t="s">
        <v>6</v>
      </c>
      <c r="Q95" s="36" t="s">
        <v>6</v>
      </c>
      <c r="R95" s="36" t="s">
        <v>25</v>
      </c>
      <c r="S95" s="36" t="s">
        <v>6</v>
      </c>
      <c r="T95" s="36" t="s">
        <v>6</v>
      </c>
      <c r="U95" s="36" t="s">
        <v>6</v>
      </c>
      <c r="V95" s="36" t="s">
        <v>6</v>
      </c>
      <c r="W95" s="36" t="s">
        <v>6</v>
      </c>
      <c r="X95" s="36" t="s">
        <v>6</v>
      </c>
      <c r="Y95" s="36" t="s">
        <v>25</v>
      </c>
      <c r="Z95" s="36" t="s">
        <v>6</v>
      </c>
      <c r="AA95" s="36" t="s">
        <v>6</v>
      </c>
      <c r="AB95" s="36" t="s">
        <v>6</v>
      </c>
      <c r="AC95" s="36" t="s">
        <v>6</v>
      </c>
      <c r="AD95" s="36" t="s">
        <v>6</v>
      </c>
      <c r="AE95" s="36" t="s">
        <v>6</v>
      </c>
      <c r="AF95" s="36" t="s">
        <v>25</v>
      </c>
      <c r="AG95" s="36"/>
      <c r="AH95" s="36"/>
      <c r="AI95" s="36"/>
      <c r="AJ95" s="36">
        <f t="shared" si="1"/>
        <v>22</v>
      </c>
      <c r="AK95" s="36">
        <f t="shared" si="2"/>
        <v>0</v>
      </c>
      <c r="AL95" s="36">
        <f t="shared" si="3"/>
        <v>0</v>
      </c>
      <c r="AM95" s="36">
        <f t="shared" si="4"/>
        <v>1</v>
      </c>
      <c r="AN95" s="36">
        <f t="shared" si="5"/>
        <v>1</v>
      </c>
      <c r="AO95" s="36">
        <f t="shared" si="6"/>
        <v>0</v>
      </c>
      <c r="AP95" s="36">
        <f t="shared" si="7"/>
        <v>0</v>
      </c>
      <c r="AQ95" s="36">
        <f t="shared" si="8"/>
        <v>0</v>
      </c>
      <c r="AR95" s="36">
        <v>1.0</v>
      </c>
      <c r="AS95" s="36">
        <f t="shared" si="9"/>
        <v>0</v>
      </c>
      <c r="AT95" s="36">
        <v>2.0</v>
      </c>
      <c r="AU95" s="36">
        <f t="shared" si="10"/>
        <v>0</v>
      </c>
      <c r="AV95" s="36">
        <v>2.0</v>
      </c>
      <c r="AW95" s="37">
        <f t="shared" si="11"/>
        <v>24</v>
      </c>
      <c r="AX95" s="37">
        <f t="shared" si="12"/>
        <v>24</v>
      </c>
      <c r="AY95" s="36"/>
    </row>
    <row r="96" ht="15.75" customHeight="1">
      <c r="A96" s="38"/>
      <c r="B96" s="24" t="s">
        <v>100</v>
      </c>
      <c r="C96" s="31" t="s">
        <v>101</v>
      </c>
      <c r="D96" s="32" t="s">
        <v>124</v>
      </c>
      <c r="E96" s="33" t="s">
        <v>6</v>
      </c>
      <c r="F96" s="33" t="s">
        <v>6</v>
      </c>
      <c r="G96" s="33" t="s">
        <v>6</v>
      </c>
      <c r="H96" s="33" t="s">
        <v>6</v>
      </c>
      <c r="I96" s="33" t="s">
        <v>6</v>
      </c>
      <c r="J96" s="33" t="s">
        <v>6</v>
      </c>
      <c r="K96" s="33" t="s">
        <v>25</v>
      </c>
      <c r="L96" s="33" t="s">
        <v>9</v>
      </c>
      <c r="M96" s="33" t="s">
        <v>10</v>
      </c>
      <c r="N96" s="33" t="s">
        <v>6</v>
      </c>
      <c r="O96" s="33" t="s">
        <v>6</v>
      </c>
      <c r="P96" s="33" t="s">
        <v>6</v>
      </c>
      <c r="Q96" s="33" t="s">
        <v>6</v>
      </c>
      <c r="R96" s="33" t="s">
        <v>25</v>
      </c>
      <c r="S96" s="33" t="s">
        <v>6</v>
      </c>
      <c r="T96" s="33" t="s">
        <v>6</v>
      </c>
      <c r="U96" s="33" t="s">
        <v>6</v>
      </c>
      <c r="V96" s="33" t="s">
        <v>6</v>
      </c>
      <c r="W96" s="33" t="s">
        <v>6</v>
      </c>
      <c r="X96" s="33" t="s">
        <v>6</v>
      </c>
      <c r="Y96" s="33" t="s">
        <v>25</v>
      </c>
      <c r="Z96" s="33" t="s">
        <v>6</v>
      </c>
      <c r="AA96" s="33" t="s">
        <v>6</v>
      </c>
      <c r="AB96" s="33" t="s">
        <v>6</v>
      </c>
      <c r="AC96" s="33" t="s">
        <v>6</v>
      </c>
      <c r="AD96" s="33" t="s">
        <v>6</v>
      </c>
      <c r="AE96" s="33" t="s">
        <v>6</v>
      </c>
      <c r="AF96" s="33" t="s">
        <v>25</v>
      </c>
      <c r="AG96" s="33"/>
      <c r="AH96" s="33"/>
      <c r="AI96" s="33"/>
      <c r="AJ96" s="33">
        <f t="shared" si="1"/>
        <v>22</v>
      </c>
      <c r="AK96" s="33">
        <f t="shared" si="2"/>
        <v>0</v>
      </c>
      <c r="AL96" s="33">
        <f t="shared" si="3"/>
        <v>0</v>
      </c>
      <c r="AM96" s="33">
        <f t="shared" si="4"/>
        <v>1</v>
      </c>
      <c r="AN96" s="33">
        <f t="shared" si="5"/>
        <v>1</v>
      </c>
      <c r="AO96" s="33">
        <f t="shared" si="6"/>
        <v>0</v>
      </c>
      <c r="AP96" s="33">
        <f t="shared" si="7"/>
        <v>0</v>
      </c>
      <c r="AQ96" s="33">
        <f t="shared" si="8"/>
        <v>0</v>
      </c>
      <c r="AR96" s="33">
        <v>1.0</v>
      </c>
      <c r="AS96" s="33">
        <f t="shared" si="9"/>
        <v>0</v>
      </c>
      <c r="AT96" s="33">
        <v>2.0</v>
      </c>
      <c r="AU96" s="33">
        <f t="shared" si="10"/>
        <v>0</v>
      </c>
      <c r="AV96" s="33">
        <v>2.0</v>
      </c>
      <c r="AW96" s="34">
        <f t="shared" si="11"/>
        <v>24</v>
      </c>
      <c r="AX96" s="34">
        <f t="shared" si="12"/>
        <v>24</v>
      </c>
      <c r="AY96" s="33"/>
    </row>
    <row r="97" ht="15.75" customHeight="1">
      <c r="A97" s="38"/>
      <c r="B97" s="18" t="s">
        <v>102</v>
      </c>
      <c r="C97" s="29" t="s">
        <v>103</v>
      </c>
      <c r="D97" s="35" t="s">
        <v>124</v>
      </c>
      <c r="E97" s="36" t="s">
        <v>6</v>
      </c>
      <c r="F97" s="36" t="s">
        <v>6</v>
      </c>
      <c r="G97" s="36" t="s">
        <v>6</v>
      </c>
      <c r="H97" s="36" t="s">
        <v>6</v>
      </c>
      <c r="I97" s="36" t="s">
        <v>6</v>
      </c>
      <c r="J97" s="36" t="s">
        <v>6</v>
      </c>
      <c r="K97" s="36" t="s">
        <v>25</v>
      </c>
      <c r="L97" s="36" t="s">
        <v>9</v>
      </c>
      <c r="M97" s="36" t="s">
        <v>10</v>
      </c>
      <c r="N97" s="36" t="s">
        <v>6</v>
      </c>
      <c r="O97" s="36" t="s">
        <v>6</v>
      </c>
      <c r="P97" s="36" t="s">
        <v>6</v>
      </c>
      <c r="Q97" s="36" t="s">
        <v>6</v>
      </c>
      <c r="R97" s="36" t="s">
        <v>25</v>
      </c>
      <c r="S97" s="36" t="s">
        <v>6</v>
      </c>
      <c r="T97" s="36" t="s">
        <v>6</v>
      </c>
      <c r="U97" s="36" t="s">
        <v>6</v>
      </c>
      <c r="V97" s="36" t="s">
        <v>6</v>
      </c>
      <c r="W97" s="36" t="s">
        <v>6</v>
      </c>
      <c r="X97" s="36" t="s">
        <v>6</v>
      </c>
      <c r="Y97" s="36" t="s">
        <v>25</v>
      </c>
      <c r="Z97" s="36" t="s">
        <v>6</v>
      </c>
      <c r="AA97" s="36" t="s">
        <v>6</v>
      </c>
      <c r="AB97" s="36" t="s">
        <v>6</v>
      </c>
      <c r="AC97" s="36" t="s">
        <v>6</v>
      </c>
      <c r="AD97" s="36" t="s">
        <v>6</v>
      </c>
      <c r="AE97" s="36" t="s">
        <v>6</v>
      </c>
      <c r="AF97" s="36" t="s">
        <v>25</v>
      </c>
      <c r="AG97" s="36"/>
      <c r="AH97" s="36"/>
      <c r="AI97" s="36"/>
      <c r="AJ97" s="36">
        <f t="shared" si="1"/>
        <v>22</v>
      </c>
      <c r="AK97" s="36">
        <f t="shared" si="2"/>
        <v>0</v>
      </c>
      <c r="AL97" s="36">
        <f t="shared" si="3"/>
        <v>0</v>
      </c>
      <c r="AM97" s="36">
        <f t="shared" si="4"/>
        <v>1</v>
      </c>
      <c r="AN97" s="36">
        <f t="shared" si="5"/>
        <v>1</v>
      </c>
      <c r="AO97" s="36">
        <f t="shared" si="6"/>
        <v>0</v>
      </c>
      <c r="AP97" s="36">
        <f t="shared" si="7"/>
        <v>0</v>
      </c>
      <c r="AQ97" s="36">
        <f t="shared" si="8"/>
        <v>0</v>
      </c>
      <c r="AR97" s="36">
        <v>1.0</v>
      </c>
      <c r="AS97" s="36">
        <f t="shared" si="9"/>
        <v>0</v>
      </c>
      <c r="AT97" s="36">
        <v>2.0</v>
      </c>
      <c r="AU97" s="36">
        <f t="shared" si="10"/>
        <v>0</v>
      </c>
      <c r="AV97" s="36">
        <v>2.0</v>
      </c>
      <c r="AW97" s="37">
        <f t="shared" si="11"/>
        <v>24</v>
      </c>
      <c r="AX97" s="37">
        <f t="shared" si="12"/>
        <v>24</v>
      </c>
      <c r="AY97" s="36"/>
    </row>
    <row r="98" ht="15.75" customHeight="1">
      <c r="A98" s="38"/>
      <c r="B98" s="24" t="s">
        <v>104</v>
      </c>
      <c r="C98" s="31" t="s">
        <v>105</v>
      </c>
      <c r="D98" s="32" t="s">
        <v>124</v>
      </c>
      <c r="E98" s="33" t="s">
        <v>6</v>
      </c>
      <c r="F98" s="33" t="s">
        <v>6</v>
      </c>
      <c r="G98" s="33" t="s">
        <v>6</v>
      </c>
      <c r="H98" s="33" t="s">
        <v>6</v>
      </c>
      <c r="I98" s="33" t="s">
        <v>6</v>
      </c>
      <c r="J98" s="33" t="s">
        <v>6</v>
      </c>
      <c r="K98" s="33" t="s">
        <v>25</v>
      </c>
      <c r="L98" s="33" t="s">
        <v>9</v>
      </c>
      <c r="M98" s="33" t="s">
        <v>10</v>
      </c>
      <c r="N98" s="33" t="s">
        <v>6</v>
      </c>
      <c r="O98" s="33" t="s">
        <v>6</v>
      </c>
      <c r="P98" s="33" t="s">
        <v>6</v>
      </c>
      <c r="Q98" s="33" t="s">
        <v>6</v>
      </c>
      <c r="R98" s="33" t="s">
        <v>25</v>
      </c>
      <c r="S98" s="33" t="s">
        <v>6</v>
      </c>
      <c r="T98" s="33" t="s">
        <v>6</v>
      </c>
      <c r="U98" s="33" t="s">
        <v>6</v>
      </c>
      <c r="V98" s="33" t="s">
        <v>6</v>
      </c>
      <c r="W98" s="33" t="s">
        <v>6</v>
      </c>
      <c r="X98" s="33" t="s">
        <v>6</v>
      </c>
      <c r="Y98" s="33" t="s">
        <v>25</v>
      </c>
      <c r="Z98" s="33" t="s">
        <v>6</v>
      </c>
      <c r="AA98" s="33" t="s">
        <v>6</v>
      </c>
      <c r="AB98" s="33" t="s">
        <v>6</v>
      </c>
      <c r="AC98" s="33" t="s">
        <v>6</v>
      </c>
      <c r="AD98" s="33" t="s">
        <v>6</v>
      </c>
      <c r="AE98" s="33" t="s">
        <v>6</v>
      </c>
      <c r="AF98" s="33" t="s">
        <v>25</v>
      </c>
      <c r="AG98" s="33"/>
      <c r="AH98" s="33"/>
      <c r="AI98" s="33"/>
      <c r="AJ98" s="33">
        <f t="shared" si="1"/>
        <v>22</v>
      </c>
      <c r="AK98" s="33">
        <f t="shared" si="2"/>
        <v>0</v>
      </c>
      <c r="AL98" s="33">
        <f t="shared" si="3"/>
        <v>0</v>
      </c>
      <c r="AM98" s="33">
        <f t="shared" si="4"/>
        <v>1</v>
      </c>
      <c r="AN98" s="33">
        <f t="shared" si="5"/>
        <v>1</v>
      </c>
      <c r="AO98" s="33">
        <f t="shared" si="6"/>
        <v>0</v>
      </c>
      <c r="AP98" s="33">
        <f t="shared" si="7"/>
        <v>0</v>
      </c>
      <c r="AQ98" s="33">
        <f t="shared" si="8"/>
        <v>0</v>
      </c>
      <c r="AR98" s="33">
        <v>1.0</v>
      </c>
      <c r="AS98" s="33">
        <f t="shared" si="9"/>
        <v>0</v>
      </c>
      <c r="AT98" s="33">
        <v>2.0</v>
      </c>
      <c r="AU98" s="33">
        <f t="shared" si="10"/>
        <v>0</v>
      </c>
      <c r="AV98" s="33">
        <v>2.0</v>
      </c>
      <c r="AW98" s="34">
        <f t="shared" si="11"/>
        <v>24</v>
      </c>
      <c r="AX98" s="34">
        <f t="shared" si="12"/>
        <v>24</v>
      </c>
      <c r="AY98" s="33"/>
    </row>
    <row r="99" ht="15.75" customHeight="1">
      <c r="A99" s="38"/>
      <c r="B99" s="18" t="s">
        <v>106</v>
      </c>
      <c r="C99" s="29" t="s">
        <v>107</v>
      </c>
      <c r="D99" s="35" t="s">
        <v>124</v>
      </c>
      <c r="E99" s="36" t="s">
        <v>6</v>
      </c>
      <c r="F99" s="36" t="s">
        <v>6</v>
      </c>
      <c r="G99" s="36" t="s">
        <v>6</v>
      </c>
      <c r="H99" s="36" t="s">
        <v>6</v>
      </c>
      <c r="I99" s="36" t="s">
        <v>6</v>
      </c>
      <c r="J99" s="36" t="s">
        <v>6</v>
      </c>
      <c r="K99" s="36" t="s">
        <v>25</v>
      </c>
      <c r="L99" s="36" t="s">
        <v>9</v>
      </c>
      <c r="M99" s="36" t="s">
        <v>10</v>
      </c>
      <c r="N99" s="36" t="s">
        <v>6</v>
      </c>
      <c r="O99" s="36" t="s">
        <v>6</v>
      </c>
      <c r="P99" s="36" t="s">
        <v>6</v>
      </c>
      <c r="Q99" s="36" t="s">
        <v>6</v>
      </c>
      <c r="R99" s="36" t="s">
        <v>25</v>
      </c>
      <c r="S99" s="36" t="s">
        <v>6</v>
      </c>
      <c r="T99" s="36" t="s">
        <v>6</v>
      </c>
      <c r="U99" s="36" t="s">
        <v>6</v>
      </c>
      <c r="V99" s="36" t="s">
        <v>6</v>
      </c>
      <c r="W99" s="36" t="s">
        <v>6</v>
      </c>
      <c r="X99" s="36" t="s">
        <v>6</v>
      </c>
      <c r="Y99" s="36" t="s">
        <v>25</v>
      </c>
      <c r="Z99" s="36" t="s">
        <v>6</v>
      </c>
      <c r="AA99" s="36" t="s">
        <v>6</v>
      </c>
      <c r="AB99" s="36" t="s">
        <v>6</v>
      </c>
      <c r="AC99" s="36" t="s">
        <v>6</v>
      </c>
      <c r="AD99" s="36" t="s">
        <v>6</v>
      </c>
      <c r="AE99" s="36" t="s">
        <v>6</v>
      </c>
      <c r="AF99" s="36" t="s">
        <v>25</v>
      </c>
      <c r="AG99" s="36"/>
      <c r="AH99" s="36"/>
      <c r="AI99" s="36"/>
      <c r="AJ99" s="36">
        <f t="shared" si="1"/>
        <v>22</v>
      </c>
      <c r="AK99" s="36">
        <f t="shared" si="2"/>
        <v>0</v>
      </c>
      <c r="AL99" s="36">
        <f t="shared" si="3"/>
        <v>0</v>
      </c>
      <c r="AM99" s="36">
        <f t="shared" si="4"/>
        <v>1</v>
      </c>
      <c r="AN99" s="36">
        <f t="shared" si="5"/>
        <v>1</v>
      </c>
      <c r="AO99" s="36">
        <f t="shared" si="6"/>
        <v>0</v>
      </c>
      <c r="AP99" s="36">
        <f t="shared" si="7"/>
        <v>0</v>
      </c>
      <c r="AQ99" s="36">
        <f t="shared" si="8"/>
        <v>0</v>
      </c>
      <c r="AR99" s="36">
        <v>1.0</v>
      </c>
      <c r="AS99" s="36">
        <f t="shared" si="9"/>
        <v>0</v>
      </c>
      <c r="AT99" s="36">
        <v>2.0</v>
      </c>
      <c r="AU99" s="36">
        <f t="shared" si="10"/>
        <v>0</v>
      </c>
      <c r="AV99" s="36">
        <v>2.0</v>
      </c>
      <c r="AW99" s="37">
        <f t="shared" si="11"/>
        <v>24</v>
      </c>
      <c r="AX99" s="37">
        <f t="shared" si="12"/>
        <v>24</v>
      </c>
      <c r="AY99" s="36"/>
    </row>
    <row r="100" ht="15.75" customHeight="1">
      <c r="A100" s="38"/>
      <c r="B100" s="24" t="s">
        <v>108</v>
      </c>
      <c r="C100" s="31" t="s">
        <v>109</v>
      </c>
      <c r="D100" s="32" t="s">
        <v>124</v>
      </c>
      <c r="E100" s="33" t="s">
        <v>6</v>
      </c>
      <c r="F100" s="33" t="s">
        <v>6</v>
      </c>
      <c r="G100" s="33" t="s">
        <v>6</v>
      </c>
      <c r="H100" s="33" t="s">
        <v>6</v>
      </c>
      <c r="I100" s="33" t="s">
        <v>6</v>
      </c>
      <c r="J100" s="33" t="s">
        <v>6</v>
      </c>
      <c r="K100" s="33" t="s">
        <v>25</v>
      </c>
      <c r="L100" s="33" t="s">
        <v>9</v>
      </c>
      <c r="M100" s="33" t="s">
        <v>10</v>
      </c>
      <c r="N100" s="33" t="s">
        <v>6</v>
      </c>
      <c r="O100" s="33" t="s">
        <v>6</v>
      </c>
      <c r="P100" s="33" t="s">
        <v>6</v>
      </c>
      <c r="Q100" s="33" t="s">
        <v>6</v>
      </c>
      <c r="R100" s="33" t="s">
        <v>25</v>
      </c>
      <c r="S100" s="33" t="s">
        <v>6</v>
      </c>
      <c r="T100" s="33" t="s">
        <v>6</v>
      </c>
      <c r="U100" s="33" t="s">
        <v>6</v>
      </c>
      <c r="V100" s="33" t="s">
        <v>6</v>
      </c>
      <c r="W100" s="33" t="s">
        <v>6</v>
      </c>
      <c r="X100" s="33" t="s">
        <v>6</v>
      </c>
      <c r="Y100" s="33" t="s">
        <v>25</v>
      </c>
      <c r="Z100" s="33" t="s">
        <v>6</v>
      </c>
      <c r="AA100" s="33" t="s">
        <v>6</v>
      </c>
      <c r="AB100" s="33" t="s">
        <v>6</v>
      </c>
      <c r="AC100" s="33" t="s">
        <v>6</v>
      </c>
      <c r="AD100" s="33" t="s">
        <v>6</v>
      </c>
      <c r="AE100" s="33" t="s">
        <v>6</v>
      </c>
      <c r="AF100" s="33" t="s">
        <v>25</v>
      </c>
      <c r="AG100" s="33"/>
      <c r="AH100" s="33"/>
      <c r="AI100" s="33"/>
      <c r="AJ100" s="33">
        <f t="shared" si="1"/>
        <v>22</v>
      </c>
      <c r="AK100" s="33">
        <f t="shared" si="2"/>
        <v>0</v>
      </c>
      <c r="AL100" s="33">
        <f t="shared" si="3"/>
        <v>0</v>
      </c>
      <c r="AM100" s="33">
        <f t="shared" si="4"/>
        <v>1</v>
      </c>
      <c r="AN100" s="33">
        <f t="shared" si="5"/>
        <v>1</v>
      </c>
      <c r="AO100" s="33">
        <f t="shared" si="6"/>
        <v>0</v>
      </c>
      <c r="AP100" s="33">
        <f t="shared" si="7"/>
        <v>0</v>
      </c>
      <c r="AQ100" s="33">
        <f t="shared" si="8"/>
        <v>0</v>
      </c>
      <c r="AR100" s="33">
        <v>1.0</v>
      </c>
      <c r="AS100" s="33">
        <f t="shared" si="9"/>
        <v>0</v>
      </c>
      <c r="AT100" s="33">
        <v>2.0</v>
      </c>
      <c r="AU100" s="33">
        <f t="shared" si="10"/>
        <v>0</v>
      </c>
      <c r="AV100" s="33">
        <v>2.0</v>
      </c>
      <c r="AW100" s="34">
        <f t="shared" si="11"/>
        <v>24</v>
      </c>
      <c r="AX100" s="34">
        <f t="shared" si="12"/>
        <v>24</v>
      </c>
      <c r="AY100" s="33"/>
    </row>
    <row r="101" ht="15.75" customHeight="1">
      <c r="A101" s="38"/>
      <c r="B101" s="18" t="s">
        <v>110</v>
      </c>
      <c r="C101" s="29" t="s">
        <v>111</v>
      </c>
      <c r="D101" s="35" t="s">
        <v>124</v>
      </c>
      <c r="E101" s="36" t="s">
        <v>6</v>
      </c>
      <c r="F101" s="36" t="s">
        <v>6</v>
      </c>
      <c r="G101" s="36" t="s">
        <v>6</v>
      </c>
      <c r="H101" s="36" t="s">
        <v>6</v>
      </c>
      <c r="I101" s="36" t="s">
        <v>6</v>
      </c>
      <c r="J101" s="36" t="s">
        <v>6</v>
      </c>
      <c r="K101" s="36" t="s">
        <v>25</v>
      </c>
      <c r="L101" s="36" t="s">
        <v>9</v>
      </c>
      <c r="M101" s="36" t="s">
        <v>10</v>
      </c>
      <c r="N101" s="36" t="s">
        <v>6</v>
      </c>
      <c r="O101" s="36" t="s">
        <v>6</v>
      </c>
      <c r="P101" s="36" t="s">
        <v>6</v>
      </c>
      <c r="Q101" s="36" t="s">
        <v>6</v>
      </c>
      <c r="R101" s="36" t="s">
        <v>25</v>
      </c>
      <c r="S101" s="36" t="s">
        <v>6</v>
      </c>
      <c r="T101" s="36" t="s">
        <v>6</v>
      </c>
      <c r="U101" s="36" t="s">
        <v>6</v>
      </c>
      <c r="V101" s="36" t="s">
        <v>6</v>
      </c>
      <c r="W101" s="36" t="s">
        <v>6</v>
      </c>
      <c r="X101" s="36" t="s">
        <v>6</v>
      </c>
      <c r="Y101" s="36" t="s">
        <v>25</v>
      </c>
      <c r="Z101" s="36" t="s">
        <v>6</v>
      </c>
      <c r="AA101" s="36" t="s">
        <v>6</v>
      </c>
      <c r="AB101" s="36" t="s">
        <v>6</v>
      </c>
      <c r="AC101" s="36" t="s">
        <v>6</v>
      </c>
      <c r="AD101" s="36" t="s">
        <v>6</v>
      </c>
      <c r="AE101" s="36" t="s">
        <v>6</v>
      </c>
      <c r="AF101" s="36" t="s">
        <v>25</v>
      </c>
      <c r="AG101" s="36"/>
      <c r="AH101" s="36"/>
      <c r="AI101" s="36"/>
      <c r="AJ101" s="36">
        <f t="shared" si="1"/>
        <v>22</v>
      </c>
      <c r="AK101" s="36">
        <f t="shared" si="2"/>
        <v>0</v>
      </c>
      <c r="AL101" s="36">
        <f t="shared" si="3"/>
        <v>0</v>
      </c>
      <c r="AM101" s="36">
        <f t="shared" si="4"/>
        <v>1</v>
      </c>
      <c r="AN101" s="36">
        <f t="shared" si="5"/>
        <v>1</v>
      </c>
      <c r="AO101" s="36">
        <f t="shared" si="6"/>
        <v>0</v>
      </c>
      <c r="AP101" s="36">
        <f t="shared" si="7"/>
        <v>0</v>
      </c>
      <c r="AQ101" s="36">
        <f t="shared" si="8"/>
        <v>0</v>
      </c>
      <c r="AR101" s="36">
        <v>1.0</v>
      </c>
      <c r="AS101" s="36">
        <f t="shared" si="9"/>
        <v>0</v>
      </c>
      <c r="AT101" s="36">
        <v>2.0</v>
      </c>
      <c r="AU101" s="36">
        <f t="shared" si="10"/>
        <v>0</v>
      </c>
      <c r="AV101" s="36">
        <v>2.0</v>
      </c>
      <c r="AW101" s="37">
        <f t="shared" si="11"/>
        <v>24</v>
      </c>
      <c r="AX101" s="37">
        <f t="shared" si="12"/>
        <v>24</v>
      </c>
      <c r="AY101" s="36"/>
    </row>
    <row r="102" ht="15.75" customHeight="1">
      <c r="A102" s="38"/>
      <c r="B102" s="24" t="s">
        <v>112</v>
      </c>
      <c r="C102" s="31" t="s">
        <v>113</v>
      </c>
      <c r="D102" s="32" t="s">
        <v>124</v>
      </c>
      <c r="E102" s="33" t="s">
        <v>6</v>
      </c>
      <c r="F102" s="33" t="s">
        <v>6</v>
      </c>
      <c r="G102" s="33" t="s">
        <v>6</v>
      </c>
      <c r="H102" s="33" t="s">
        <v>6</v>
      </c>
      <c r="I102" s="33" t="s">
        <v>6</v>
      </c>
      <c r="J102" s="33" t="s">
        <v>6</v>
      </c>
      <c r="K102" s="33" t="s">
        <v>25</v>
      </c>
      <c r="L102" s="33" t="s">
        <v>9</v>
      </c>
      <c r="M102" s="33" t="s">
        <v>10</v>
      </c>
      <c r="N102" s="33" t="s">
        <v>6</v>
      </c>
      <c r="O102" s="33" t="s">
        <v>6</v>
      </c>
      <c r="P102" s="33" t="s">
        <v>6</v>
      </c>
      <c r="Q102" s="33" t="s">
        <v>6</v>
      </c>
      <c r="R102" s="33" t="s">
        <v>25</v>
      </c>
      <c r="S102" s="33" t="s">
        <v>6</v>
      </c>
      <c r="T102" s="33" t="s">
        <v>6</v>
      </c>
      <c r="U102" s="33" t="s">
        <v>6</v>
      </c>
      <c r="V102" s="33" t="s">
        <v>6</v>
      </c>
      <c r="W102" s="33" t="s">
        <v>6</v>
      </c>
      <c r="X102" s="33" t="s">
        <v>6</v>
      </c>
      <c r="Y102" s="33" t="s">
        <v>25</v>
      </c>
      <c r="Z102" s="33" t="s">
        <v>6</v>
      </c>
      <c r="AA102" s="33" t="s">
        <v>6</v>
      </c>
      <c r="AB102" s="33" t="s">
        <v>6</v>
      </c>
      <c r="AC102" s="33" t="s">
        <v>6</v>
      </c>
      <c r="AD102" s="33" t="s">
        <v>6</v>
      </c>
      <c r="AE102" s="33" t="s">
        <v>6</v>
      </c>
      <c r="AF102" s="33" t="s">
        <v>25</v>
      </c>
      <c r="AG102" s="33"/>
      <c r="AH102" s="33"/>
      <c r="AI102" s="33"/>
      <c r="AJ102" s="33">
        <f t="shared" si="1"/>
        <v>22</v>
      </c>
      <c r="AK102" s="33">
        <f t="shared" si="2"/>
        <v>0</v>
      </c>
      <c r="AL102" s="33">
        <f t="shared" si="3"/>
        <v>0</v>
      </c>
      <c r="AM102" s="33">
        <f t="shared" si="4"/>
        <v>1</v>
      </c>
      <c r="AN102" s="33">
        <f t="shared" si="5"/>
        <v>1</v>
      </c>
      <c r="AO102" s="33">
        <f t="shared" si="6"/>
        <v>0</v>
      </c>
      <c r="AP102" s="33">
        <f t="shared" si="7"/>
        <v>0</v>
      </c>
      <c r="AQ102" s="33">
        <f t="shared" si="8"/>
        <v>0</v>
      </c>
      <c r="AR102" s="33">
        <v>1.0</v>
      </c>
      <c r="AS102" s="33">
        <f t="shared" si="9"/>
        <v>0</v>
      </c>
      <c r="AT102" s="33">
        <v>2.0</v>
      </c>
      <c r="AU102" s="33">
        <f t="shared" si="10"/>
        <v>0</v>
      </c>
      <c r="AV102" s="33">
        <v>2.0</v>
      </c>
      <c r="AW102" s="34">
        <f t="shared" si="11"/>
        <v>24</v>
      </c>
      <c r="AX102" s="34">
        <f t="shared" si="12"/>
        <v>24</v>
      </c>
      <c r="AY102" s="33"/>
    </row>
    <row r="103" ht="15.75" customHeight="1">
      <c r="A103" s="38"/>
      <c r="B103" s="18" t="s">
        <v>114</v>
      </c>
      <c r="C103" s="29" t="s">
        <v>115</v>
      </c>
      <c r="D103" s="35" t="s">
        <v>124</v>
      </c>
      <c r="E103" s="36" t="s">
        <v>6</v>
      </c>
      <c r="F103" s="36" t="s">
        <v>6</v>
      </c>
      <c r="G103" s="36" t="s">
        <v>6</v>
      </c>
      <c r="H103" s="36" t="s">
        <v>6</v>
      </c>
      <c r="I103" s="36" t="s">
        <v>6</v>
      </c>
      <c r="J103" s="36" t="s">
        <v>6</v>
      </c>
      <c r="K103" s="36" t="s">
        <v>25</v>
      </c>
      <c r="L103" s="36" t="s">
        <v>9</v>
      </c>
      <c r="M103" s="36" t="s">
        <v>10</v>
      </c>
      <c r="N103" s="36" t="s">
        <v>6</v>
      </c>
      <c r="O103" s="36" t="s">
        <v>6</v>
      </c>
      <c r="P103" s="36" t="s">
        <v>6</v>
      </c>
      <c r="Q103" s="36" t="s">
        <v>6</v>
      </c>
      <c r="R103" s="36" t="s">
        <v>25</v>
      </c>
      <c r="S103" s="36" t="s">
        <v>6</v>
      </c>
      <c r="T103" s="36" t="s">
        <v>6</v>
      </c>
      <c r="U103" s="36" t="s">
        <v>6</v>
      </c>
      <c r="V103" s="36" t="s">
        <v>6</v>
      </c>
      <c r="W103" s="36" t="s">
        <v>6</v>
      </c>
      <c r="X103" s="36" t="s">
        <v>6</v>
      </c>
      <c r="Y103" s="36" t="s">
        <v>25</v>
      </c>
      <c r="Z103" s="36" t="s">
        <v>6</v>
      </c>
      <c r="AA103" s="36" t="s">
        <v>6</v>
      </c>
      <c r="AB103" s="36" t="s">
        <v>6</v>
      </c>
      <c r="AC103" s="36" t="s">
        <v>6</v>
      </c>
      <c r="AD103" s="36" t="s">
        <v>6</v>
      </c>
      <c r="AE103" s="36" t="s">
        <v>6</v>
      </c>
      <c r="AF103" s="36" t="s">
        <v>25</v>
      </c>
      <c r="AG103" s="36"/>
      <c r="AH103" s="36"/>
      <c r="AI103" s="36"/>
      <c r="AJ103" s="36">
        <f t="shared" si="1"/>
        <v>22</v>
      </c>
      <c r="AK103" s="36">
        <f t="shared" si="2"/>
        <v>0</v>
      </c>
      <c r="AL103" s="36">
        <f t="shared" si="3"/>
        <v>0</v>
      </c>
      <c r="AM103" s="36">
        <f t="shared" si="4"/>
        <v>1</v>
      </c>
      <c r="AN103" s="36">
        <f t="shared" si="5"/>
        <v>1</v>
      </c>
      <c r="AO103" s="36">
        <f t="shared" si="6"/>
        <v>0</v>
      </c>
      <c r="AP103" s="36">
        <f t="shared" si="7"/>
        <v>0</v>
      </c>
      <c r="AQ103" s="36">
        <f t="shared" si="8"/>
        <v>0</v>
      </c>
      <c r="AR103" s="36">
        <v>1.0</v>
      </c>
      <c r="AS103" s="36">
        <f t="shared" si="9"/>
        <v>0</v>
      </c>
      <c r="AT103" s="36">
        <v>2.0</v>
      </c>
      <c r="AU103" s="36">
        <f t="shared" si="10"/>
        <v>0</v>
      </c>
      <c r="AV103" s="36">
        <v>2.0</v>
      </c>
      <c r="AW103" s="37">
        <f t="shared" si="11"/>
        <v>24</v>
      </c>
      <c r="AX103" s="37">
        <f t="shared" si="12"/>
        <v>24</v>
      </c>
      <c r="AY103" s="36"/>
    </row>
    <row r="104" ht="15.75" customHeight="1">
      <c r="A104" s="38"/>
      <c r="B104" s="24" t="s">
        <v>116</v>
      </c>
      <c r="C104" s="31" t="s">
        <v>117</v>
      </c>
      <c r="D104" s="32" t="s">
        <v>124</v>
      </c>
      <c r="E104" s="33" t="s">
        <v>6</v>
      </c>
      <c r="F104" s="33" t="s">
        <v>6</v>
      </c>
      <c r="G104" s="33" t="s">
        <v>6</v>
      </c>
      <c r="H104" s="33" t="s">
        <v>6</v>
      </c>
      <c r="I104" s="33" t="s">
        <v>6</v>
      </c>
      <c r="J104" s="33" t="s">
        <v>6</v>
      </c>
      <c r="K104" s="33" t="s">
        <v>25</v>
      </c>
      <c r="L104" s="33" t="s">
        <v>9</v>
      </c>
      <c r="M104" s="33" t="s">
        <v>10</v>
      </c>
      <c r="N104" s="33" t="s">
        <v>6</v>
      </c>
      <c r="O104" s="33" t="s">
        <v>6</v>
      </c>
      <c r="P104" s="33" t="s">
        <v>6</v>
      </c>
      <c r="Q104" s="33" t="s">
        <v>6</v>
      </c>
      <c r="R104" s="33" t="s">
        <v>25</v>
      </c>
      <c r="S104" s="33" t="s">
        <v>6</v>
      </c>
      <c r="T104" s="33" t="s">
        <v>6</v>
      </c>
      <c r="U104" s="33" t="s">
        <v>6</v>
      </c>
      <c r="V104" s="33" t="s">
        <v>6</v>
      </c>
      <c r="W104" s="33" t="s">
        <v>6</v>
      </c>
      <c r="X104" s="33" t="s">
        <v>6</v>
      </c>
      <c r="Y104" s="33" t="s">
        <v>25</v>
      </c>
      <c r="Z104" s="33" t="s">
        <v>6</v>
      </c>
      <c r="AA104" s="33" t="s">
        <v>6</v>
      </c>
      <c r="AB104" s="33" t="s">
        <v>6</v>
      </c>
      <c r="AC104" s="33" t="s">
        <v>6</v>
      </c>
      <c r="AD104" s="33" t="s">
        <v>6</v>
      </c>
      <c r="AE104" s="33" t="s">
        <v>6</v>
      </c>
      <c r="AF104" s="33" t="s">
        <v>25</v>
      </c>
      <c r="AG104" s="33"/>
      <c r="AH104" s="33"/>
      <c r="AI104" s="33"/>
      <c r="AJ104" s="33">
        <f t="shared" si="1"/>
        <v>22</v>
      </c>
      <c r="AK104" s="33">
        <f t="shared" si="2"/>
        <v>0</v>
      </c>
      <c r="AL104" s="33">
        <f t="shared" si="3"/>
        <v>0</v>
      </c>
      <c r="AM104" s="33">
        <f t="shared" si="4"/>
        <v>1</v>
      </c>
      <c r="AN104" s="33">
        <f t="shared" si="5"/>
        <v>1</v>
      </c>
      <c r="AO104" s="33">
        <f t="shared" si="6"/>
        <v>0</v>
      </c>
      <c r="AP104" s="33">
        <f t="shared" si="7"/>
        <v>0</v>
      </c>
      <c r="AQ104" s="33">
        <f t="shared" si="8"/>
        <v>0</v>
      </c>
      <c r="AR104" s="33">
        <v>1.0</v>
      </c>
      <c r="AS104" s="33">
        <f t="shared" si="9"/>
        <v>0</v>
      </c>
      <c r="AT104" s="33">
        <v>2.0</v>
      </c>
      <c r="AU104" s="33">
        <f t="shared" si="10"/>
        <v>0</v>
      </c>
      <c r="AV104" s="33">
        <v>2.0</v>
      </c>
      <c r="AW104" s="34">
        <f t="shared" si="11"/>
        <v>24</v>
      </c>
      <c r="AX104" s="34">
        <f t="shared" si="12"/>
        <v>24</v>
      </c>
      <c r="AY104" s="33"/>
    </row>
    <row r="105" ht="15.75" customHeight="1">
      <c r="A105" s="38"/>
      <c r="B105" s="18" t="s">
        <v>118</v>
      </c>
      <c r="C105" s="29" t="s">
        <v>119</v>
      </c>
      <c r="D105" s="35" t="s">
        <v>124</v>
      </c>
      <c r="E105" s="36" t="s">
        <v>6</v>
      </c>
      <c r="F105" s="36" t="s">
        <v>6</v>
      </c>
      <c r="G105" s="36" t="s">
        <v>6</v>
      </c>
      <c r="H105" s="36" t="s">
        <v>6</v>
      </c>
      <c r="I105" s="36" t="s">
        <v>6</v>
      </c>
      <c r="J105" s="36" t="s">
        <v>6</v>
      </c>
      <c r="K105" s="36" t="s">
        <v>25</v>
      </c>
      <c r="L105" s="36" t="s">
        <v>9</v>
      </c>
      <c r="M105" s="36" t="s">
        <v>10</v>
      </c>
      <c r="N105" s="36" t="s">
        <v>6</v>
      </c>
      <c r="O105" s="36" t="s">
        <v>6</v>
      </c>
      <c r="P105" s="36" t="s">
        <v>6</v>
      </c>
      <c r="Q105" s="36" t="s">
        <v>6</v>
      </c>
      <c r="R105" s="36" t="s">
        <v>25</v>
      </c>
      <c r="S105" s="36" t="s">
        <v>6</v>
      </c>
      <c r="T105" s="36" t="s">
        <v>6</v>
      </c>
      <c r="U105" s="36" t="s">
        <v>6</v>
      </c>
      <c r="V105" s="36" t="s">
        <v>6</v>
      </c>
      <c r="W105" s="36" t="s">
        <v>6</v>
      </c>
      <c r="X105" s="36" t="s">
        <v>6</v>
      </c>
      <c r="Y105" s="36" t="s">
        <v>25</v>
      </c>
      <c r="Z105" s="36" t="s">
        <v>6</v>
      </c>
      <c r="AA105" s="36" t="s">
        <v>6</v>
      </c>
      <c r="AB105" s="36" t="s">
        <v>6</v>
      </c>
      <c r="AC105" s="36" t="s">
        <v>6</v>
      </c>
      <c r="AD105" s="36" t="s">
        <v>6</v>
      </c>
      <c r="AE105" s="36" t="s">
        <v>6</v>
      </c>
      <c r="AF105" s="36" t="s">
        <v>25</v>
      </c>
      <c r="AG105" s="36"/>
      <c r="AH105" s="36"/>
      <c r="AI105" s="36"/>
      <c r="AJ105" s="36">
        <f t="shared" si="1"/>
        <v>22</v>
      </c>
      <c r="AK105" s="36">
        <f t="shared" si="2"/>
        <v>0</v>
      </c>
      <c r="AL105" s="36">
        <f t="shared" si="3"/>
        <v>0</v>
      </c>
      <c r="AM105" s="36">
        <f t="shared" si="4"/>
        <v>1</v>
      </c>
      <c r="AN105" s="36">
        <f t="shared" si="5"/>
        <v>1</v>
      </c>
      <c r="AO105" s="36">
        <f t="shared" si="6"/>
        <v>0</v>
      </c>
      <c r="AP105" s="36">
        <f t="shared" si="7"/>
        <v>0</v>
      </c>
      <c r="AQ105" s="36">
        <f t="shared" si="8"/>
        <v>0</v>
      </c>
      <c r="AR105" s="36">
        <v>1.0</v>
      </c>
      <c r="AS105" s="36">
        <f t="shared" si="9"/>
        <v>0</v>
      </c>
      <c r="AT105" s="36">
        <v>2.0</v>
      </c>
      <c r="AU105" s="36">
        <f t="shared" si="10"/>
        <v>0</v>
      </c>
      <c r="AV105" s="36">
        <v>2.0</v>
      </c>
      <c r="AW105" s="37">
        <f t="shared" si="11"/>
        <v>24</v>
      </c>
      <c r="AX105" s="37">
        <f t="shared" si="12"/>
        <v>24</v>
      </c>
      <c r="AY105" s="36"/>
    </row>
    <row r="106" ht="15.75" customHeight="1">
      <c r="A106" s="38"/>
      <c r="B106" s="24" t="s">
        <v>120</v>
      </c>
      <c r="C106" s="31" t="s">
        <v>121</v>
      </c>
      <c r="D106" s="32" t="s">
        <v>124</v>
      </c>
      <c r="E106" s="33" t="s">
        <v>6</v>
      </c>
      <c r="F106" s="33" t="s">
        <v>6</v>
      </c>
      <c r="G106" s="33" t="s">
        <v>6</v>
      </c>
      <c r="H106" s="33" t="s">
        <v>6</v>
      </c>
      <c r="I106" s="33" t="s">
        <v>6</v>
      </c>
      <c r="J106" s="33" t="s">
        <v>6</v>
      </c>
      <c r="K106" s="33" t="s">
        <v>25</v>
      </c>
      <c r="L106" s="33" t="s">
        <v>9</v>
      </c>
      <c r="M106" s="33" t="s">
        <v>10</v>
      </c>
      <c r="N106" s="33" t="s">
        <v>6</v>
      </c>
      <c r="O106" s="33" t="s">
        <v>6</v>
      </c>
      <c r="P106" s="33" t="s">
        <v>6</v>
      </c>
      <c r="Q106" s="33" t="s">
        <v>6</v>
      </c>
      <c r="R106" s="33" t="s">
        <v>25</v>
      </c>
      <c r="S106" s="33" t="s">
        <v>6</v>
      </c>
      <c r="T106" s="33" t="s">
        <v>6</v>
      </c>
      <c r="U106" s="33" t="s">
        <v>6</v>
      </c>
      <c r="V106" s="33" t="s">
        <v>6</v>
      </c>
      <c r="W106" s="33" t="s">
        <v>6</v>
      </c>
      <c r="X106" s="33" t="s">
        <v>6</v>
      </c>
      <c r="Y106" s="33" t="s">
        <v>25</v>
      </c>
      <c r="Z106" s="33" t="s">
        <v>6</v>
      </c>
      <c r="AA106" s="33" t="s">
        <v>6</v>
      </c>
      <c r="AB106" s="33" t="s">
        <v>6</v>
      </c>
      <c r="AC106" s="33" t="s">
        <v>6</v>
      </c>
      <c r="AD106" s="33" t="s">
        <v>6</v>
      </c>
      <c r="AE106" s="33" t="s">
        <v>6</v>
      </c>
      <c r="AF106" s="33" t="s">
        <v>25</v>
      </c>
      <c r="AG106" s="33"/>
      <c r="AH106" s="33"/>
      <c r="AI106" s="33"/>
      <c r="AJ106" s="33">
        <f t="shared" si="1"/>
        <v>22</v>
      </c>
      <c r="AK106" s="33">
        <f t="shared" si="2"/>
        <v>0</v>
      </c>
      <c r="AL106" s="33">
        <f t="shared" si="3"/>
        <v>0</v>
      </c>
      <c r="AM106" s="33">
        <f t="shared" si="4"/>
        <v>1</v>
      </c>
      <c r="AN106" s="33">
        <f t="shared" si="5"/>
        <v>1</v>
      </c>
      <c r="AO106" s="33">
        <f t="shared" si="6"/>
        <v>0</v>
      </c>
      <c r="AP106" s="33">
        <f t="shared" si="7"/>
        <v>0</v>
      </c>
      <c r="AQ106" s="33">
        <f t="shared" si="8"/>
        <v>0</v>
      </c>
      <c r="AR106" s="33">
        <v>1.0</v>
      </c>
      <c r="AS106" s="33">
        <f t="shared" si="9"/>
        <v>0</v>
      </c>
      <c r="AT106" s="33">
        <v>2.0</v>
      </c>
      <c r="AU106" s="33">
        <f t="shared" si="10"/>
        <v>0</v>
      </c>
      <c r="AV106" s="33">
        <v>2.0</v>
      </c>
      <c r="AW106" s="34">
        <f t="shared" si="11"/>
        <v>24</v>
      </c>
      <c r="AX106" s="34">
        <f t="shared" si="12"/>
        <v>24</v>
      </c>
      <c r="AY106" s="33"/>
    </row>
    <row r="107" ht="15.75" customHeight="1">
      <c r="A107" s="38"/>
      <c r="B107" s="18" t="s">
        <v>122</v>
      </c>
      <c r="C107" s="29" t="s">
        <v>123</v>
      </c>
      <c r="D107" s="35" t="s">
        <v>124</v>
      </c>
      <c r="E107" s="36" t="s">
        <v>6</v>
      </c>
      <c r="F107" s="36" t="s">
        <v>6</v>
      </c>
      <c r="G107" s="36" t="s">
        <v>6</v>
      </c>
      <c r="H107" s="36" t="s">
        <v>6</v>
      </c>
      <c r="I107" s="36" t="s">
        <v>6</v>
      </c>
      <c r="J107" s="36" t="s">
        <v>6</v>
      </c>
      <c r="K107" s="36" t="s">
        <v>25</v>
      </c>
      <c r="L107" s="36" t="s">
        <v>9</v>
      </c>
      <c r="M107" s="36" t="s">
        <v>10</v>
      </c>
      <c r="N107" s="36" t="s">
        <v>6</v>
      </c>
      <c r="O107" s="36" t="s">
        <v>6</v>
      </c>
      <c r="P107" s="36" t="s">
        <v>6</v>
      </c>
      <c r="Q107" s="36" t="s">
        <v>6</v>
      </c>
      <c r="R107" s="36" t="s">
        <v>25</v>
      </c>
      <c r="S107" s="36" t="s">
        <v>6</v>
      </c>
      <c r="T107" s="36" t="s">
        <v>6</v>
      </c>
      <c r="U107" s="36" t="s">
        <v>6</v>
      </c>
      <c r="V107" s="36" t="s">
        <v>6</v>
      </c>
      <c r="W107" s="36" t="s">
        <v>6</v>
      </c>
      <c r="X107" s="36" t="s">
        <v>6</v>
      </c>
      <c r="Y107" s="36" t="s">
        <v>25</v>
      </c>
      <c r="Z107" s="36" t="s">
        <v>6</v>
      </c>
      <c r="AA107" s="36" t="s">
        <v>6</v>
      </c>
      <c r="AB107" s="36" t="s">
        <v>6</v>
      </c>
      <c r="AC107" s="36" t="s">
        <v>6</v>
      </c>
      <c r="AD107" s="36" t="s">
        <v>6</v>
      </c>
      <c r="AE107" s="36" t="s">
        <v>6</v>
      </c>
      <c r="AF107" s="36" t="s">
        <v>25</v>
      </c>
      <c r="AG107" s="36"/>
      <c r="AH107" s="36"/>
      <c r="AI107" s="36"/>
      <c r="AJ107" s="36">
        <f t="shared" si="1"/>
        <v>22</v>
      </c>
      <c r="AK107" s="36">
        <f t="shared" si="2"/>
        <v>0</v>
      </c>
      <c r="AL107" s="36">
        <f t="shared" si="3"/>
        <v>0</v>
      </c>
      <c r="AM107" s="36">
        <f t="shared" si="4"/>
        <v>1</v>
      </c>
      <c r="AN107" s="36">
        <f t="shared" si="5"/>
        <v>1</v>
      </c>
      <c r="AO107" s="36">
        <f t="shared" si="6"/>
        <v>0</v>
      </c>
      <c r="AP107" s="36">
        <f t="shared" si="7"/>
        <v>0</v>
      </c>
      <c r="AQ107" s="36">
        <f t="shared" si="8"/>
        <v>0</v>
      </c>
      <c r="AR107" s="36">
        <v>1.0</v>
      </c>
      <c r="AS107" s="36">
        <f t="shared" si="9"/>
        <v>0</v>
      </c>
      <c r="AT107" s="36">
        <v>2.0</v>
      </c>
      <c r="AU107" s="36">
        <f t="shared" si="10"/>
        <v>0</v>
      </c>
      <c r="AV107" s="36">
        <v>2.0</v>
      </c>
      <c r="AW107" s="37">
        <f t="shared" si="11"/>
        <v>24</v>
      </c>
      <c r="AX107" s="37">
        <f t="shared" si="12"/>
        <v>24</v>
      </c>
      <c r="AY107" s="36"/>
    </row>
    <row r="108" ht="15.75" customHeight="1">
      <c r="A108" s="38"/>
      <c r="B108" s="24" t="s">
        <v>22</v>
      </c>
      <c r="C108" s="31" t="s">
        <v>23</v>
      </c>
      <c r="D108" s="32" t="s">
        <v>125</v>
      </c>
      <c r="E108" s="33" t="s">
        <v>6</v>
      </c>
      <c r="F108" s="33" t="s">
        <v>7</v>
      </c>
      <c r="G108" s="33" t="s">
        <v>6</v>
      </c>
      <c r="H108" s="33" t="s">
        <v>8</v>
      </c>
      <c r="I108" s="33" t="s">
        <v>15</v>
      </c>
      <c r="J108" s="33" t="s">
        <v>17</v>
      </c>
      <c r="K108" s="33" t="s">
        <v>25</v>
      </c>
      <c r="L108" s="33" t="s">
        <v>9</v>
      </c>
      <c r="M108" s="33" t="s">
        <v>10</v>
      </c>
      <c r="N108" s="33" t="s">
        <v>6</v>
      </c>
      <c r="O108" s="33" t="s">
        <v>12</v>
      </c>
      <c r="P108" s="33" t="s">
        <v>13</v>
      </c>
      <c r="Q108" s="33" t="s">
        <v>6</v>
      </c>
      <c r="R108" s="33" t="s">
        <v>25</v>
      </c>
      <c r="S108" s="33" t="s">
        <v>6</v>
      </c>
      <c r="T108" s="33" t="s">
        <v>6</v>
      </c>
      <c r="U108" s="33" t="s">
        <v>6</v>
      </c>
      <c r="V108" s="33" t="s">
        <v>6</v>
      </c>
      <c r="W108" s="33" t="s">
        <v>6</v>
      </c>
      <c r="X108" s="33" t="s">
        <v>6</v>
      </c>
      <c r="Y108" s="33" t="s">
        <v>25</v>
      </c>
      <c r="Z108" s="33" t="s">
        <v>6</v>
      </c>
      <c r="AA108" s="33" t="s">
        <v>6</v>
      </c>
      <c r="AB108" s="33" t="s">
        <v>6</v>
      </c>
      <c r="AC108" s="33" t="s">
        <v>6</v>
      </c>
      <c r="AD108" s="33" t="s">
        <v>6</v>
      </c>
      <c r="AE108" s="33" t="s">
        <v>6</v>
      </c>
      <c r="AF108" s="33" t="s">
        <v>25</v>
      </c>
      <c r="AG108" s="33" t="s">
        <v>6</v>
      </c>
      <c r="AH108" s="33" t="s">
        <v>6</v>
      </c>
      <c r="AI108" s="33" t="s">
        <v>6</v>
      </c>
      <c r="AJ108" s="33">
        <f t="shared" si="1"/>
        <v>19</v>
      </c>
      <c r="AK108" s="33">
        <f t="shared" si="2"/>
        <v>1</v>
      </c>
      <c r="AL108" s="33">
        <f t="shared" si="3"/>
        <v>1</v>
      </c>
      <c r="AM108" s="33">
        <f t="shared" si="4"/>
        <v>1</v>
      </c>
      <c r="AN108" s="33">
        <f t="shared" si="5"/>
        <v>1</v>
      </c>
      <c r="AO108" s="33">
        <f t="shared" si="6"/>
        <v>0</v>
      </c>
      <c r="AP108" s="33">
        <f t="shared" si="7"/>
        <v>1</v>
      </c>
      <c r="AQ108" s="33">
        <f t="shared" si="8"/>
        <v>1</v>
      </c>
      <c r="AR108" s="33">
        <v>1.0</v>
      </c>
      <c r="AS108" s="33">
        <f t="shared" si="9"/>
        <v>1</v>
      </c>
      <c r="AT108" s="33">
        <v>2.0</v>
      </c>
      <c r="AU108" s="33">
        <f t="shared" si="10"/>
        <v>1</v>
      </c>
      <c r="AV108" s="33">
        <v>2.0</v>
      </c>
      <c r="AW108" s="34">
        <f t="shared" si="11"/>
        <v>27</v>
      </c>
      <c r="AX108" s="34">
        <f t="shared" si="12"/>
        <v>26</v>
      </c>
      <c r="AY108" s="33"/>
    </row>
    <row r="109" ht="15.75" customHeight="1">
      <c r="A109" s="38"/>
      <c r="B109" s="18" t="s">
        <v>26</v>
      </c>
      <c r="C109" s="29" t="s">
        <v>27</v>
      </c>
      <c r="D109" s="35" t="s">
        <v>125</v>
      </c>
      <c r="E109" s="36" t="s">
        <v>6</v>
      </c>
      <c r="F109" s="36" t="s">
        <v>6</v>
      </c>
      <c r="G109" s="36" t="s">
        <v>6</v>
      </c>
      <c r="H109" s="36" t="s">
        <v>7</v>
      </c>
      <c r="I109" s="36" t="s">
        <v>6</v>
      </c>
      <c r="J109" s="36" t="s">
        <v>6</v>
      </c>
      <c r="K109" s="36" t="s">
        <v>25</v>
      </c>
      <c r="L109" s="36" t="s">
        <v>9</v>
      </c>
      <c r="M109" s="36" t="s">
        <v>10</v>
      </c>
      <c r="N109" s="36" t="s">
        <v>6</v>
      </c>
      <c r="O109" s="36" t="s">
        <v>6</v>
      </c>
      <c r="P109" s="36" t="s">
        <v>6</v>
      </c>
      <c r="Q109" s="36" t="s">
        <v>6</v>
      </c>
      <c r="R109" s="36" t="s">
        <v>25</v>
      </c>
      <c r="S109" s="36" t="s">
        <v>6</v>
      </c>
      <c r="T109" s="36" t="s">
        <v>6</v>
      </c>
      <c r="U109" s="36" t="s">
        <v>6</v>
      </c>
      <c r="V109" s="36" t="s">
        <v>6</v>
      </c>
      <c r="W109" s="36" t="s">
        <v>6</v>
      </c>
      <c r="X109" s="36" t="s">
        <v>6</v>
      </c>
      <c r="Y109" s="36" t="s">
        <v>25</v>
      </c>
      <c r="Z109" s="36" t="s">
        <v>6</v>
      </c>
      <c r="AA109" s="36" t="s">
        <v>6</v>
      </c>
      <c r="AB109" s="36" t="s">
        <v>6</v>
      </c>
      <c r="AC109" s="36" t="s">
        <v>6</v>
      </c>
      <c r="AD109" s="36" t="s">
        <v>6</v>
      </c>
      <c r="AE109" s="36" t="s">
        <v>6</v>
      </c>
      <c r="AF109" s="36" t="s">
        <v>25</v>
      </c>
      <c r="AG109" s="36" t="s">
        <v>6</v>
      </c>
      <c r="AH109" s="36" t="s">
        <v>6</v>
      </c>
      <c r="AI109" s="36" t="s">
        <v>6</v>
      </c>
      <c r="AJ109" s="36">
        <f t="shared" si="1"/>
        <v>24</v>
      </c>
      <c r="AK109" s="36">
        <f t="shared" si="2"/>
        <v>1</v>
      </c>
      <c r="AL109" s="36">
        <f t="shared" si="3"/>
        <v>0</v>
      </c>
      <c r="AM109" s="36">
        <f t="shared" si="4"/>
        <v>1</v>
      </c>
      <c r="AN109" s="36">
        <f t="shared" si="5"/>
        <v>1</v>
      </c>
      <c r="AO109" s="36">
        <f t="shared" si="6"/>
        <v>0</v>
      </c>
      <c r="AP109" s="36">
        <f t="shared" si="7"/>
        <v>0</v>
      </c>
      <c r="AQ109" s="36">
        <f t="shared" si="8"/>
        <v>0</v>
      </c>
      <c r="AR109" s="36">
        <v>1.0</v>
      </c>
      <c r="AS109" s="36">
        <f t="shared" si="9"/>
        <v>0</v>
      </c>
      <c r="AT109" s="36">
        <v>2.0</v>
      </c>
      <c r="AU109" s="36">
        <f t="shared" si="10"/>
        <v>0</v>
      </c>
      <c r="AV109" s="36">
        <v>2.0</v>
      </c>
      <c r="AW109" s="37">
        <f t="shared" si="11"/>
        <v>27</v>
      </c>
      <c r="AX109" s="37">
        <f t="shared" si="12"/>
        <v>26</v>
      </c>
      <c r="AY109" s="36"/>
    </row>
    <row r="110" ht="15.75" customHeight="1">
      <c r="A110" s="38"/>
      <c r="B110" s="24" t="s">
        <v>28</v>
      </c>
      <c r="C110" s="31" t="s">
        <v>29</v>
      </c>
      <c r="D110" s="32" t="s">
        <v>125</v>
      </c>
      <c r="E110" s="33" t="s">
        <v>6</v>
      </c>
      <c r="F110" s="33" t="s">
        <v>6</v>
      </c>
      <c r="G110" s="33" t="s">
        <v>6</v>
      </c>
      <c r="H110" s="33" t="s">
        <v>6</v>
      </c>
      <c r="I110" s="33" t="s">
        <v>6</v>
      </c>
      <c r="J110" s="33" t="s">
        <v>6</v>
      </c>
      <c r="K110" s="33" t="s">
        <v>25</v>
      </c>
      <c r="L110" s="33" t="s">
        <v>9</v>
      </c>
      <c r="M110" s="33" t="s">
        <v>10</v>
      </c>
      <c r="N110" s="33" t="s">
        <v>6</v>
      </c>
      <c r="O110" s="33" t="s">
        <v>6</v>
      </c>
      <c r="P110" s="33" t="s">
        <v>6</v>
      </c>
      <c r="Q110" s="33" t="s">
        <v>6</v>
      </c>
      <c r="R110" s="33" t="s">
        <v>25</v>
      </c>
      <c r="S110" s="33" t="s">
        <v>6</v>
      </c>
      <c r="T110" s="33" t="s">
        <v>6</v>
      </c>
      <c r="U110" s="33" t="s">
        <v>6</v>
      </c>
      <c r="V110" s="33" t="s">
        <v>6</v>
      </c>
      <c r="W110" s="33" t="s">
        <v>8</v>
      </c>
      <c r="X110" s="33" t="s">
        <v>6</v>
      </c>
      <c r="Y110" s="33" t="s">
        <v>25</v>
      </c>
      <c r="Z110" s="33" t="s">
        <v>6</v>
      </c>
      <c r="AA110" s="33" t="s">
        <v>6</v>
      </c>
      <c r="AB110" s="33" t="s">
        <v>6</v>
      </c>
      <c r="AC110" s="33" t="s">
        <v>6</v>
      </c>
      <c r="AD110" s="33" t="s">
        <v>6</v>
      </c>
      <c r="AE110" s="33" t="s">
        <v>6</v>
      </c>
      <c r="AF110" s="33" t="s">
        <v>25</v>
      </c>
      <c r="AG110" s="33" t="s">
        <v>6</v>
      </c>
      <c r="AH110" s="33" t="s">
        <v>6</v>
      </c>
      <c r="AI110" s="33" t="s">
        <v>6</v>
      </c>
      <c r="AJ110" s="33">
        <f t="shared" si="1"/>
        <v>24</v>
      </c>
      <c r="AK110" s="33">
        <f t="shared" si="2"/>
        <v>0</v>
      </c>
      <c r="AL110" s="33">
        <f t="shared" si="3"/>
        <v>1</v>
      </c>
      <c r="AM110" s="33">
        <f t="shared" si="4"/>
        <v>1</v>
      </c>
      <c r="AN110" s="33">
        <f t="shared" si="5"/>
        <v>1</v>
      </c>
      <c r="AO110" s="33">
        <f t="shared" si="6"/>
        <v>0</v>
      </c>
      <c r="AP110" s="33">
        <f t="shared" si="7"/>
        <v>0</v>
      </c>
      <c r="AQ110" s="33">
        <f t="shared" si="8"/>
        <v>0</v>
      </c>
      <c r="AR110" s="33">
        <v>1.0</v>
      </c>
      <c r="AS110" s="33">
        <f t="shared" si="9"/>
        <v>0</v>
      </c>
      <c r="AT110" s="33">
        <v>2.0</v>
      </c>
      <c r="AU110" s="33">
        <f t="shared" si="10"/>
        <v>0</v>
      </c>
      <c r="AV110" s="33">
        <v>2.0</v>
      </c>
      <c r="AW110" s="34">
        <f t="shared" si="11"/>
        <v>27</v>
      </c>
      <c r="AX110" s="34">
        <f t="shared" si="12"/>
        <v>27</v>
      </c>
      <c r="AY110" s="33"/>
    </row>
    <row r="111" ht="15.75" customHeight="1">
      <c r="A111" s="38"/>
      <c r="B111" s="18" t="s">
        <v>30</v>
      </c>
      <c r="C111" s="29" t="s">
        <v>31</v>
      </c>
      <c r="D111" s="35" t="s">
        <v>125</v>
      </c>
      <c r="E111" s="36" t="s">
        <v>6</v>
      </c>
      <c r="F111" s="36" t="s">
        <v>6</v>
      </c>
      <c r="G111" s="36" t="s">
        <v>6</v>
      </c>
      <c r="H111" s="36" t="s">
        <v>6</v>
      </c>
      <c r="I111" s="36" t="s">
        <v>6</v>
      </c>
      <c r="J111" s="36" t="s">
        <v>8</v>
      </c>
      <c r="K111" s="36" t="s">
        <v>25</v>
      </c>
      <c r="L111" s="36" t="s">
        <v>9</v>
      </c>
      <c r="M111" s="36" t="s">
        <v>10</v>
      </c>
      <c r="N111" s="36" t="s">
        <v>6</v>
      </c>
      <c r="O111" s="36" t="s">
        <v>6</v>
      </c>
      <c r="P111" s="36" t="s">
        <v>6</v>
      </c>
      <c r="Q111" s="36" t="s">
        <v>6</v>
      </c>
      <c r="R111" s="36" t="s">
        <v>25</v>
      </c>
      <c r="S111" s="36" t="s">
        <v>17</v>
      </c>
      <c r="T111" s="36" t="s">
        <v>6</v>
      </c>
      <c r="U111" s="36" t="s">
        <v>6</v>
      </c>
      <c r="V111" s="36" t="s">
        <v>6</v>
      </c>
      <c r="W111" s="36" t="s">
        <v>6</v>
      </c>
      <c r="X111" s="36" t="s">
        <v>6</v>
      </c>
      <c r="Y111" s="36" t="s">
        <v>25</v>
      </c>
      <c r="Z111" s="36" t="s">
        <v>6</v>
      </c>
      <c r="AA111" s="36" t="s">
        <v>6</v>
      </c>
      <c r="AB111" s="36" t="s">
        <v>6</v>
      </c>
      <c r="AC111" s="36" t="s">
        <v>6</v>
      </c>
      <c r="AD111" s="36" t="s">
        <v>6</v>
      </c>
      <c r="AE111" s="36" t="s">
        <v>17</v>
      </c>
      <c r="AF111" s="36" t="s">
        <v>25</v>
      </c>
      <c r="AG111" s="36" t="s">
        <v>6</v>
      </c>
      <c r="AH111" s="36" t="s">
        <v>6</v>
      </c>
      <c r="AI111" s="36" t="s">
        <v>6</v>
      </c>
      <c r="AJ111" s="36">
        <f t="shared" si="1"/>
        <v>22</v>
      </c>
      <c r="AK111" s="36">
        <f t="shared" si="2"/>
        <v>0</v>
      </c>
      <c r="AL111" s="36">
        <f t="shared" si="3"/>
        <v>1</v>
      </c>
      <c r="AM111" s="36">
        <f t="shared" si="4"/>
        <v>1</v>
      </c>
      <c r="AN111" s="36">
        <f t="shared" si="5"/>
        <v>1</v>
      </c>
      <c r="AO111" s="36">
        <f t="shared" si="6"/>
        <v>0</v>
      </c>
      <c r="AP111" s="36">
        <f t="shared" si="7"/>
        <v>0</v>
      </c>
      <c r="AQ111" s="36">
        <f t="shared" si="8"/>
        <v>0</v>
      </c>
      <c r="AR111" s="36">
        <v>1.0</v>
      </c>
      <c r="AS111" s="36">
        <f t="shared" si="9"/>
        <v>0</v>
      </c>
      <c r="AT111" s="36">
        <v>2.0</v>
      </c>
      <c r="AU111" s="36">
        <f t="shared" si="10"/>
        <v>2</v>
      </c>
      <c r="AV111" s="36">
        <v>2.0</v>
      </c>
      <c r="AW111" s="37">
        <f t="shared" si="11"/>
        <v>27</v>
      </c>
      <c r="AX111" s="37">
        <f t="shared" si="12"/>
        <v>27</v>
      </c>
      <c r="AY111" s="36"/>
    </row>
    <row r="112" ht="15.75" customHeight="1">
      <c r="A112" s="38"/>
      <c r="B112" s="24" t="s">
        <v>32</v>
      </c>
      <c r="C112" s="31" t="s">
        <v>33</v>
      </c>
      <c r="D112" s="32" t="s">
        <v>125</v>
      </c>
      <c r="E112" s="33" t="s">
        <v>6</v>
      </c>
      <c r="F112" s="33" t="s">
        <v>6</v>
      </c>
      <c r="G112" s="33" t="s">
        <v>6</v>
      </c>
      <c r="H112" s="33" t="s">
        <v>6</v>
      </c>
      <c r="I112" s="33" t="s">
        <v>6</v>
      </c>
      <c r="J112" s="33" t="s">
        <v>6</v>
      </c>
      <c r="K112" s="33" t="s">
        <v>25</v>
      </c>
      <c r="L112" s="33" t="s">
        <v>9</v>
      </c>
      <c r="M112" s="33" t="s">
        <v>10</v>
      </c>
      <c r="N112" s="33" t="s">
        <v>6</v>
      </c>
      <c r="O112" s="33" t="s">
        <v>6</v>
      </c>
      <c r="P112" s="33" t="s">
        <v>6</v>
      </c>
      <c r="Q112" s="33" t="s">
        <v>6</v>
      </c>
      <c r="R112" s="33" t="s">
        <v>25</v>
      </c>
      <c r="S112" s="33" t="s">
        <v>6</v>
      </c>
      <c r="T112" s="33" t="s">
        <v>6</v>
      </c>
      <c r="U112" s="33" t="s">
        <v>6</v>
      </c>
      <c r="V112" s="33" t="s">
        <v>6</v>
      </c>
      <c r="W112" s="33" t="s">
        <v>6</v>
      </c>
      <c r="X112" s="33" t="s">
        <v>17</v>
      </c>
      <c r="Y112" s="33" t="s">
        <v>25</v>
      </c>
      <c r="Z112" s="33" t="s">
        <v>6</v>
      </c>
      <c r="AA112" s="33" t="s">
        <v>6</v>
      </c>
      <c r="AB112" s="33" t="s">
        <v>6</v>
      </c>
      <c r="AC112" s="33" t="s">
        <v>6</v>
      </c>
      <c r="AD112" s="33" t="s">
        <v>6</v>
      </c>
      <c r="AE112" s="33" t="s">
        <v>7</v>
      </c>
      <c r="AF112" s="33" t="s">
        <v>25</v>
      </c>
      <c r="AG112" s="33" t="s">
        <v>15</v>
      </c>
      <c r="AH112" s="33" t="s">
        <v>6</v>
      </c>
      <c r="AI112" s="33" t="s">
        <v>6</v>
      </c>
      <c r="AJ112" s="33">
        <f t="shared" si="1"/>
        <v>22</v>
      </c>
      <c r="AK112" s="33">
        <f t="shared" si="2"/>
        <v>1</v>
      </c>
      <c r="AL112" s="33">
        <f t="shared" si="3"/>
        <v>0</v>
      </c>
      <c r="AM112" s="33">
        <f t="shared" si="4"/>
        <v>1</v>
      </c>
      <c r="AN112" s="33">
        <f t="shared" si="5"/>
        <v>1</v>
      </c>
      <c r="AO112" s="33">
        <f t="shared" si="6"/>
        <v>0</v>
      </c>
      <c r="AP112" s="33">
        <f t="shared" si="7"/>
        <v>0</v>
      </c>
      <c r="AQ112" s="33">
        <f t="shared" si="8"/>
        <v>0</v>
      </c>
      <c r="AR112" s="33">
        <v>1.0</v>
      </c>
      <c r="AS112" s="33">
        <f t="shared" si="9"/>
        <v>1</v>
      </c>
      <c r="AT112" s="33">
        <v>2.0</v>
      </c>
      <c r="AU112" s="33">
        <f t="shared" si="10"/>
        <v>1</v>
      </c>
      <c r="AV112" s="33">
        <v>2.0</v>
      </c>
      <c r="AW112" s="34">
        <f t="shared" si="11"/>
        <v>27</v>
      </c>
      <c r="AX112" s="34">
        <f t="shared" si="12"/>
        <v>26</v>
      </c>
      <c r="AY112" s="33"/>
    </row>
    <row r="113" ht="15.75" customHeight="1">
      <c r="A113" s="38"/>
      <c r="B113" s="18" t="s">
        <v>34</v>
      </c>
      <c r="C113" s="29" t="s">
        <v>35</v>
      </c>
      <c r="D113" s="35" t="s">
        <v>125</v>
      </c>
      <c r="E113" s="36" t="s">
        <v>6</v>
      </c>
      <c r="F113" s="36" t="s">
        <v>6</v>
      </c>
      <c r="G113" s="36" t="s">
        <v>6</v>
      </c>
      <c r="H113" s="36" t="s">
        <v>6</v>
      </c>
      <c r="I113" s="36" t="s">
        <v>6</v>
      </c>
      <c r="J113" s="36" t="s">
        <v>6</v>
      </c>
      <c r="K113" s="36" t="s">
        <v>25</v>
      </c>
      <c r="L113" s="36" t="s">
        <v>9</v>
      </c>
      <c r="M113" s="36" t="s">
        <v>10</v>
      </c>
      <c r="N113" s="36" t="s">
        <v>6</v>
      </c>
      <c r="O113" s="36" t="s">
        <v>6</v>
      </c>
      <c r="P113" s="36" t="s">
        <v>6</v>
      </c>
      <c r="Q113" s="36" t="s">
        <v>6</v>
      </c>
      <c r="R113" s="36" t="s">
        <v>25</v>
      </c>
      <c r="S113" s="36" t="s">
        <v>6</v>
      </c>
      <c r="T113" s="36" t="s">
        <v>6</v>
      </c>
      <c r="U113" s="36" t="s">
        <v>6</v>
      </c>
      <c r="V113" s="36" t="s">
        <v>6</v>
      </c>
      <c r="W113" s="36" t="s">
        <v>6</v>
      </c>
      <c r="X113" s="36" t="s">
        <v>6</v>
      </c>
      <c r="Y113" s="36" t="s">
        <v>25</v>
      </c>
      <c r="Z113" s="36" t="s">
        <v>6</v>
      </c>
      <c r="AA113" s="36" t="s">
        <v>6</v>
      </c>
      <c r="AB113" s="36" t="s">
        <v>6</v>
      </c>
      <c r="AC113" s="36" t="s">
        <v>6</v>
      </c>
      <c r="AD113" s="36" t="s">
        <v>6</v>
      </c>
      <c r="AE113" s="36" t="s">
        <v>6</v>
      </c>
      <c r="AF113" s="36" t="s">
        <v>25</v>
      </c>
      <c r="AG113" s="36" t="s">
        <v>6</v>
      </c>
      <c r="AH113" s="36" t="s">
        <v>6</v>
      </c>
      <c r="AI113" s="36" t="s">
        <v>6</v>
      </c>
      <c r="AJ113" s="36">
        <f t="shared" si="1"/>
        <v>25</v>
      </c>
      <c r="AK113" s="36">
        <f t="shared" si="2"/>
        <v>0</v>
      </c>
      <c r="AL113" s="36">
        <f t="shared" si="3"/>
        <v>0</v>
      </c>
      <c r="AM113" s="36">
        <f t="shared" si="4"/>
        <v>1</v>
      </c>
      <c r="AN113" s="36">
        <f t="shared" si="5"/>
        <v>1</v>
      </c>
      <c r="AO113" s="36">
        <f t="shared" si="6"/>
        <v>0</v>
      </c>
      <c r="AP113" s="36">
        <f t="shared" si="7"/>
        <v>0</v>
      </c>
      <c r="AQ113" s="36">
        <f t="shared" si="8"/>
        <v>0</v>
      </c>
      <c r="AR113" s="36">
        <v>1.0</v>
      </c>
      <c r="AS113" s="36">
        <f t="shared" si="9"/>
        <v>0</v>
      </c>
      <c r="AT113" s="36">
        <v>2.0</v>
      </c>
      <c r="AU113" s="36">
        <f t="shared" si="10"/>
        <v>0</v>
      </c>
      <c r="AV113" s="36">
        <v>2.0</v>
      </c>
      <c r="AW113" s="37">
        <f t="shared" si="11"/>
        <v>27</v>
      </c>
      <c r="AX113" s="37">
        <f t="shared" si="12"/>
        <v>27</v>
      </c>
      <c r="AY113" s="36"/>
    </row>
    <row r="114" ht="15.75" customHeight="1">
      <c r="A114" s="38"/>
      <c r="B114" s="24" t="s">
        <v>36</v>
      </c>
      <c r="C114" s="31" t="s">
        <v>37</v>
      </c>
      <c r="D114" s="32" t="s">
        <v>125</v>
      </c>
      <c r="E114" s="33" t="s">
        <v>6</v>
      </c>
      <c r="F114" s="33" t="s">
        <v>6</v>
      </c>
      <c r="G114" s="33" t="s">
        <v>6</v>
      </c>
      <c r="H114" s="33" t="s">
        <v>6</v>
      </c>
      <c r="I114" s="33" t="s">
        <v>7</v>
      </c>
      <c r="J114" s="33" t="s">
        <v>6</v>
      </c>
      <c r="K114" s="33" t="s">
        <v>25</v>
      </c>
      <c r="L114" s="33" t="s">
        <v>9</v>
      </c>
      <c r="M114" s="33" t="s">
        <v>10</v>
      </c>
      <c r="N114" s="33" t="s">
        <v>6</v>
      </c>
      <c r="O114" s="33" t="s">
        <v>6</v>
      </c>
      <c r="P114" s="33" t="s">
        <v>6</v>
      </c>
      <c r="Q114" s="33" t="s">
        <v>6</v>
      </c>
      <c r="R114" s="33" t="s">
        <v>25</v>
      </c>
      <c r="S114" s="33" t="s">
        <v>6</v>
      </c>
      <c r="T114" s="33" t="s">
        <v>6</v>
      </c>
      <c r="U114" s="33" t="s">
        <v>6</v>
      </c>
      <c r="V114" s="33" t="s">
        <v>6</v>
      </c>
      <c r="W114" s="33" t="s">
        <v>6</v>
      </c>
      <c r="X114" s="33" t="s">
        <v>6</v>
      </c>
      <c r="Y114" s="33" t="s">
        <v>25</v>
      </c>
      <c r="Z114" s="33" t="s">
        <v>6</v>
      </c>
      <c r="AA114" s="33" t="s">
        <v>6</v>
      </c>
      <c r="AB114" s="33" t="s">
        <v>6</v>
      </c>
      <c r="AC114" s="33" t="s">
        <v>6</v>
      </c>
      <c r="AD114" s="33" t="s">
        <v>6</v>
      </c>
      <c r="AE114" s="33" t="s">
        <v>6</v>
      </c>
      <c r="AF114" s="33" t="s">
        <v>25</v>
      </c>
      <c r="AG114" s="33" t="s">
        <v>6</v>
      </c>
      <c r="AH114" s="33" t="s">
        <v>6</v>
      </c>
      <c r="AI114" s="33" t="s">
        <v>6</v>
      </c>
      <c r="AJ114" s="33">
        <f t="shared" si="1"/>
        <v>24</v>
      </c>
      <c r="AK114" s="33">
        <f t="shared" si="2"/>
        <v>1</v>
      </c>
      <c r="AL114" s="33">
        <f t="shared" si="3"/>
        <v>0</v>
      </c>
      <c r="AM114" s="33">
        <f t="shared" si="4"/>
        <v>1</v>
      </c>
      <c r="AN114" s="33">
        <f t="shared" si="5"/>
        <v>1</v>
      </c>
      <c r="AO114" s="33">
        <f t="shared" si="6"/>
        <v>0</v>
      </c>
      <c r="AP114" s="33">
        <f t="shared" si="7"/>
        <v>0</v>
      </c>
      <c r="AQ114" s="33">
        <f t="shared" si="8"/>
        <v>0</v>
      </c>
      <c r="AR114" s="33">
        <v>1.0</v>
      </c>
      <c r="AS114" s="33">
        <f t="shared" si="9"/>
        <v>0</v>
      </c>
      <c r="AT114" s="33">
        <v>2.0</v>
      </c>
      <c r="AU114" s="33">
        <f t="shared" si="10"/>
        <v>0</v>
      </c>
      <c r="AV114" s="33">
        <v>2.0</v>
      </c>
      <c r="AW114" s="34">
        <f t="shared" si="11"/>
        <v>27</v>
      </c>
      <c r="AX114" s="34">
        <f t="shared" si="12"/>
        <v>26</v>
      </c>
      <c r="AY114" s="33"/>
    </row>
    <row r="115" ht="15.75" customHeight="1">
      <c r="A115" s="38"/>
      <c r="B115" s="18" t="s">
        <v>38</v>
      </c>
      <c r="C115" s="29" t="s">
        <v>39</v>
      </c>
      <c r="D115" s="35" t="s">
        <v>125</v>
      </c>
      <c r="E115" s="36" t="s">
        <v>6</v>
      </c>
      <c r="F115" s="36" t="s">
        <v>6</v>
      </c>
      <c r="G115" s="36" t="s">
        <v>6</v>
      </c>
      <c r="H115" s="36" t="s">
        <v>6</v>
      </c>
      <c r="I115" s="36" t="s">
        <v>6</v>
      </c>
      <c r="J115" s="36" t="s">
        <v>6</v>
      </c>
      <c r="K115" s="36" t="s">
        <v>25</v>
      </c>
      <c r="L115" s="36" t="s">
        <v>9</v>
      </c>
      <c r="M115" s="36" t="s">
        <v>10</v>
      </c>
      <c r="N115" s="36" t="s">
        <v>6</v>
      </c>
      <c r="O115" s="36" t="s">
        <v>6</v>
      </c>
      <c r="P115" s="36" t="s">
        <v>6</v>
      </c>
      <c r="Q115" s="36" t="s">
        <v>6</v>
      </c>
      <c r="R115" s="36" t="s">
        <v>25</v>
      </c>
      <c r="S115" s="36" t="s">
        <v>6</v>
      </c>
      <c r="T115" s="36" t="s">
        <v>6</v>
      </c>
      <c r="U115" s="36" t="s">
        <v>6</v>
      </c>
      <c r="V115" s="36" t="s">
        <v>6</v>
      </c>
      <c r="W115" s="36" t="s">
        <v>8</v>
      </c>
      <c r="X115" s="36" t="s">
        <v>6</v>
      </c>
      <c r="Y115" s="36" t="s">
        <v>25</v>
      </c>
      <c r="Z115" s="36" t="s">
        <v>6</v>
      </c>
      <c r="AA115" s="36" t="s">
        <v>6</v>
      </c>
      <c r="AB115" s="36" t="s">
        <v>6</v>
      </c>
      <c r="AC115" s="36" t="s">
        <v>6</v>
      </c>
      <c r="AD115" s="36" t="s">
        <v>6</v>
      </c>
      <c r="AE115" s="36" t="s">
        <v>7</v>
      </c>
      <c r="AF115" s="36" t="s">
        <v>25</v>
      </c>
      <c r="AG115" s="36" t="s">
        <v>6</v>
      </c>
      <c r="AH115" s="36" t="s">
        <v>6</v>
      </c>
      <c r="AI115" s="36" t="s">
        <v>6</v>
      </c>
      <c r="AJ115" s="36">
        <f t="shared" si="1"/>
        <v>23</v>
      </c>
      <c r="AK115" s="36">
        <f t="shared" si="2"/>
        <v>1</v>
      </c>
      <c r="AL115" s="36">
        <f t="shared" si="3"/>
        <v>1</v>
      </c>
      <c r="AM115" s="36">
        <f t="shared" si="4"/>
        <v>1</v>
      </c>
      <c r="AN115" s="36">
        <f t="shared" si="5"/>
        <v>1</v>
      </c>
      <c r="AO115" s="36">
        <f t="shared" si="6"/>
        <v>0</v>
      </c>
      <c r="AP115" s="36">
        <f t="shared" si="7"/>
        <v>0</v>
      </c>
      <c r="AQ115" s="36">
        <f t="shared" si="8"/>
        <v>0</v>
      </c>
      <c r="AR115" s="36">
        <v>1.0</v>
      </c>
      <c r="AS115" s="36">
        <f t="shared" si="9"/>
        <v>0</v>
      </c>
      <c r="AT115" s="36">
        <v>2.0</v>
      </c>
      <c r="AU115" s="36">
        <f t="shared" si="10"/>
        <v>0</v>
      </c>
      <c r="AV115" s="36">
        <v>2.0</v>
      </c>
      <c r="AW115" s="37">
        <f t="shared" si="11"/>
        <v>27</v>
      </c>
      <c r="AX115" s="37">
        <f t="shared" si="12"/>
        <v>26</v>
      </c>
      <c r="AY115" s="36"/>
    </row>
    <row r="116" ht="15.75" customHeight="1">
      <c r="A116" s="38"/>
      <c r="B116" s="24" t="s">
        <v>40</v>
      </c>
      <c r="C116" s="31" t="s">
        <v>41</v>
      </c>
      <c r="D116" s="32" t="s">
        <v>125</v>
      </c>
      <c r="E116" s="33" t="s">
        <v>6</v>
      </c>
      <c r="F116" s="33" t="s">
        <v>6</v>
      </c>
      <c r="G116" s="33" t="s">
        <v>6</v>
      </c>
      <c r="H116" s="33" t="s">
        <v>6</v>
      </c>
      <c r="I116" s="33" t="s">
        <v>7</v>
      </c>
      <c r="J116" s="33" t="s">
        <v>6</v>
      </c>
      <c r="K116" s="33" t="s">
        <v>25</v>
      </c>
      <c r="L116" s="33" t="s">
        <v>9</v>
      </c>
      <c r="M116" s="33" t="s">
        <v>10</v>
      </c>
      <c r="N116" s="33" t="s">
        <v>6</v>
      </c>
      <c r="O116" s="33" t="s">
        <v>6</v>
      </c>
      <c r="P116" s="33" t="s">
        <v>6</v>
      </c>
      <c r="Q116" s="33" t="s">
        <v>6</v>
      </c>
      <c r="R116" s="33" t="s">
        <v>25</v>
      </c>
      <c r="S116" s="33" t="s">
        <v>6</v>
      </c>
      <c r="T116" s="33" t="s">
        <v>6</v>
      </c>
      <c r="U116" s="33" t="s">
        <v>6</v>
      </c>
      <c r="V116" s="33" t="s">
        <v>6</v>
      </c>
      <c r="W116" s="33" t="s">
        <v>6</v>
      </c>
      <c r="X116" s="33" t="s">
        <v>6</v>
      </c>
      <c r="Y116" s="33" t="s">
        <v>25</v>
      </c>
      <c r="Z116" s="33" t="s">
        <v>6</v>
      </c>
      <c r="AA116" s="33" t="s">
        <v>6</v>
      </c>
      <c r="AB116" s="33" t="s">
        <v>6</v>
      </c>
      <c r="AC116" s="33" t="s">
        <v>6</v>
      </c>
      <c r="AD116" s="33" t="s">
        <v>6</v>
      </c>
      <c r="AE116" s="33" t="s">
        <v>6</v>
      </c>
      <c r="AF116" s="33" t="s">
        <v>25</v>
      </c>
      <c r="AG116" s="33" t="s">
        <v>6</v>
      </c>
      <c r="AH116" s="33" t="s">
        <v>6</v>
      </c>
      <c r="AI116" s="33" t="s">
        <v>6</v>
      </c>
      <c r="AJ116" s="33">
        <f t="shared" si="1"/>
        <v>24</v>
      </c>
      <c r="AK116" s="33">
        <f t="shared" si="2"/>
        <v>1</v>
      </c>
      <c r="AL116" s="33">
        <f t="shared" si="3"/>
        <v>0</v>
      </c>
      <c r="AM116" s="33">
        <f t="shared" si="4"/>
        <v>1</v>
      </c>
      <c r="AN116" s="33">
        <f t="shared" si="5"/>
        <v>1</v>
      </c>
      <c r="AO116" s="33">
        <f t="shared" si="6"/>
        <v>0</v>
      </c>
      <c r="AP116" s="33">
        <f t="shared" si="7"/>
        <v>0</v>
      </c>
      <c r="AQ116" s="33">
        <f t="shared" si="8"/>
        <v>0</v>
      </c>
      <c r="AR116" s="33">
        <v>1.0</v>
      </c>
      <c r="AS116" s="33">
        <f t="shared" si="9"/>
        <v>0</v>
      </c>
      <c r="AT116" s="33">
        <v>2.0</v>
      </c>
      <c r="AU116" s="33">
        <f t="shared" si="10"/>
        <v>0</v>
      </c>
      <c r="AV116" s="33">
        <v>2.0</v>
      </c>
      <c r="AW116" s="34">
        <f t="shared" si="11"/>
        <v>27</v>
      </c>
      <c r="AX116" s="34">
        <f t="shared" si="12"/>
        <v>26</v>
      </c>
      <c r="AY116" s="33"/>
    </row>
    <row r="117" ht="15.75" customHeight="1">
      <c r="A117" s="38"/>
      <c r="B117" s="18" t="s">
        <v>42</v>
      </c>
      <c r="C117" s="29" t="s">
        <v>43</v>
      </c>
      <c r="D117" s="35" t="s">
        <v>125</v>
      </c>
      <c r="E117" s="36" t="s">
        <v>6</v>
      </c>
      <c r="F117" s="36" t="s">
        <v>6</v>
      </c>
      <c r="G117" s="36" t="s">
        <v>6</v>
      </c>
      <c r="H117" s="36" t="s">
        <v>6</v>
      </c>
      <c r="I117" s="36" t="s">
        <v>6</v>
      </c>
      <c r="J117" s="36" t="s">
        <v>6</v>
      </c>
      <c r="K117" s="36" t="s">
        <v>25</v>
      </c>
      <c r="L117" s="36" t="s">
        <v>9</v>
      </c>
      <c r="M117" s="36" t="s">
        <v>10</v>
      </c>
      <c r="N117" s="36" t="s">
        <v>6</v>
      </c>
      <c r="O117" s="36" t="s">
        <v>6</v>
      </c>
      <c r="P117" s="36" t="s">
        <v>6</v>
      </c>
      <c r="Q117" s="36" t="s">
        <v>6</v>
      </c>
      <c r="R117" s="36" t="s">
        <v>25</v>
      </c>
      <c r="S117" s="36" t="s">
        <v>6</v>
      </c>
      <c r="T117" s="36" t="s">
        <v>6</v>
      </c>
      <c r="U117" s="36" t="s">
        <v>6</v>
      </c>
      <c r="V117" s="36" t="s">
        <v>7</v>
      </c>
      <c r="W117" s="36" t="s">
        <v>6</v>
      </c>
      <c r="X117" s="36" t="s">
        <v>6</v>
      </c>
      <c r="Y117" s="36" t="s">
        <v>25</v>
      </c>
      <c r="Z117" s="36" t="s">
        <v>7</v>
      </c>
      <c r="AA117" s="36" t="s">
        <v>6</v>
      </c>
      <c r="AB117" s="36" t="s">
        <v>6</v>
      </c>
      <c r="AC117" s="36" t="s">
        <v>7</v>
      </c>
      <c r="AD117" s="36" t="s">
        <v>6</v>
      </c>
      <c r="AE117" s="36" t="s">
        <v>6</v>
      </c>
      <c r="AF117" s="36" t="s">
        <v>25</v>
      </c>
      <c r="AG117" s="36" t="s">
        <v>6</v>
      </c>
      <c r="AH117" s="36" t="s">
        <v>6</v>
      </c>
      <c r="AI117" s="36" t="s">
        <v>6</v>
      </c>
      <c r="AJ117" s="36">
        <f t="shared" si="1"/>
        <v>22</v>
      </c>
      <c r="AK117" s="36">
        <f t="shared" si="2"/>
        <v>3</v>
      </c>
      <c r="AL117" s="36">
        <f t="shared" si="3"/>
        <v>0</v>
      </c>
      <c r="AM117" s="36">
        <f t="shared" si="4"/>
        <v>1</v>
      </c>
      <c r="AN117" s="36">
        <f t="shared" si="5"/>
        <v>1</v>
      </c>
      <c r="AO117" s="36">
        <f t="shared" si="6"/>
        <v>0</v>
      </c>
      <c r="AP117" s="36">
        <f t="shared" si="7"/>
        <v>0</v>
      </c>
      <c r="AQ117" s="36">
        <f t="shared" si="8"/>
        <v>0</v>
      </c>
      <c r="AR117" s="36">
        <v>1.0</v>
      </c>
      <c r="AS117" s="36">
        <f t="shared" si="9"/>
        <v>0</v>
      </c>
      <c r="AT117" s="36">
        <v>2.0</v>
      </c>
      <c r="AU117" s="36">
        <f t="shared" si="10"/>
        <v>0</v>
      </c>
      <c r="AV117" s="36">
        <v>2.0</v>
      </c>
      <c r="AW117" s="37">
        <f t="shared" si="11"/>
        <v>27</v>
      </c>
      <c r="AX117" s="37">
        <f t="shared" si="12"/>
        <v>24</v>
      </c>
      <c r="AY117" s="36"/>
    </row>
    <row r="118" ht="15.75" customHeight="1">
      <c r="A118" s="38"/>
      <c r="B118" s="24" t="s">
        <v>44</v>
      </c>
      <c r="C118" s="31" t="s">
        <v>45</v>
      </c>
      <c r="D118" s="32" t="s">
        <v>125</v>
      </c>
      <c r="E118" s="33" t="s">
        <v>6</v>
      </c>
      <c r="F118" s="33" t="s">
        <v>6</v>
      </c>
      <c r="G118" s="33" t="s">
        <v>6</v>
      </c>
      <c r="H118" s="33" t="s">
        <v>6</v>
      </c>
      <c r="I118" s="33" t="s">
        <v>6</v>
      </c>
      <c r="J118" s="33" t="s">
        <v>6</v>
      </c>
      <c r="K118" s="33" t="s">
        <v>25</v>
      </c>
      <c r="L118" s="33" t="s">
        <v>9</v>
      </c>
      <c r="M118" s="33" t="s">
        <v>10</v>
      </c>
      <c r="N118" s="33" t="s">
        <v>6</v>
      </c>
      <c r="O118" s="33" t="s">
        <v>6</v>
      </c>
      <c r="P118" s="33" t="s">
        <v>6</v>
      </c>
      <c r="Q118" s="33" t="s">
        <v>6</v>
      </c>
      <c r="R118" s="33" t="s">
        <v>25</v>
      </c>
      <c r="S118" s="33" t="s">
        <v>6</v>
      </c>
      <c r="T118" s="33" t="s">
        <v>6</v>
      </c>
      <c r="U118" s="33" t="s">
        <v>6</v>
      </c>
      <c r="V118" s="33" t="s">
        <v>6</v>
      </c>
      <c r="W118" s="33" t="s">
        <v>6</v>
      </c>
      <c r="X118" s="33" t="s">
        <v>6</v>
      </c>
      <c r="Y118" s="33" t="s">
        <v>25</v>
      </c>
      <c r="Z118" s="33" t="s">
        <v>6</v>
      </c>
      <c r="AA118" s="33" t="s">
        <v>6</v>
      </c>
      <c r="AB118" s="33" t="s">
        <v>6</v>
      </c>
      <c r="AC118" s="33" t="s">
        <v>6</v>
      </c>
      <c r="AD118" s="33" t="s">
        <v>6</v>
      </c>
      <c r="AE118" s="33" t="s">
        <v>6</v>
      </c>
      <c r="AF118" s="33" t="s">
        <v>25</v>
      </c>
      <c r="AG118" s="33" t="s">
        <v>6</v>
      </c>
      <c r="AH118" s="33" t="s">
        <v>6</v>
      </c>
      <c r="AI118" s="33" t="s">
        <v>6</v>
      </c>
      <c r="AJ118" s="33">
        <f t="shared" si="1"/>
        <v>25</v>
      </c>
      <c r="AK118" s="33">
        <f t="shared" si="2"/>
        <v>0</v>
      </c>
      <c r="AL118" s="33">
        <f t="shared" si="3"/>
        <v>0</v>
      </c>
      <c r="AM118" s="33">
        <f t="shared" si="4"/>
        <v>1</v>
      </c>
      <c r="AN118" s="33">
        <f t="shared" si="5"/>
        <v>1</v>
      </c>
      <c r="AO118" s="33">
        <f t="shared" si="6"/>
        <v>0</v>
      </c>
      <c r="AP118" s="33">
        <f t="shared" si="7"/>
        <v>0</v>
      </c>
      <c r="AQ118" s="33">
        <f t="shared" si="8"/>
        <v>0</v>
      </c>
      <c r="AR118" s="33">
        <v>1.0</v>
      </c>
      <c r="AS118" s="33">
        <f t="shared" si="9"/>
        <v>0</v>
      </c>
      <c r="AT118" s="33">
        <v>2.0</v>
      </c>
      <c r="AU118" s="33">
        <f t="shared" si="10"/>
        <v>0</v>
      </c>
      <c r="AV118" s="33">
        <v>2.0</v>
      </c>
      <c r="AW118" s="34">
        <f t="shared" si="11"/>
        <v>27</v>
      </c>
      <c r="AX118" s="34">
        <f t="shared" si="12"/>
        <v>27</v>
      </c>
      <c r="AY118" s="33"/>
    </row>
    <row r="119" ht="15.75" customHeight="1">
      <c r="A119" s="38"/>
      <c r="B119" s="18" t="s">
        <v>46</v>
      </c>
      <c r="C119" s="29" t="s">
        <v>47</v>
      </c>
      <c r="D119" s="35" t="s">
        <v>125</v>
      </c>
      <c r="E119" s="36" t="s">
        <v>6</v>
      </c>
      <c r="F119" s="36" t="s">
        <v>6</v>
      </c>
      <c r="G119" s="36" t="s">
        <v>6</v>
      </c>
      <c r="H119" s="36" t="s">
        <v>6</v>
      </c>
      <c r="I119" s="36" t="s">
        <v>7</v>
      </c>
      <c r="J119" s="36" t="s">
        <v>6</v>
      </c>
      <c r="K119" s="36" t="s">
        <v>25</v>
      </c>
      <c r="L119" s="36" t="s">
        <v>9</v>
      </c>
      <c r="M119" s="36" t="s">
        <v>10</v>
      </c>
      <c r="N119" s="36" t="s">
        <v>6</v>
      </c>
      <c r="O119" s="36" t="s">
        <v>6</v>
      </c>
      <c r="P119" s="36" t="s">
        <v>6</v>
      </c>
      <c r="Q119" s="36" t="s">
        <v>7</v>
      </c>
      <c r="R119" s="36" t="s">
        <v>25</v>
      </c>
      <c r="S119" s="36" t="s">
        <v>6</v>
      </c>
      <c r="T119" s="36" t="s">
        <v>6</v>
      </c>
      <c r="U119" s="36" t="s">
        <v>6</v>
      </c>
      <c r="V119" s="36" t="s">
        <v>6</v>
      </c>
      <c r="W119" s="36" t="s">
        <v>8</v>
      </c>
      <c r="X119" s="36" t="s">
        <v>6</v>
      </c>
      <c r="Y119" s="36" t="s">
        <v>25</v>
      </c>
      <c r="Z119" s="36" t="s">
        <v>6</v>
      </c>
      <c r="AA119" s="36" t="s">
        <v>6</v>
      </c>
      <c r="AB119" s="36" t="s">
        <v>6</v>
      </c>
      <c r="AC119" s="36" t="s">
        <v>6</v>
      </c>
      <c r="AD119" s="36" t="s">
        <v>6</v>
      </c>
      <c r="AE119" s="36" t="s">
        <v>17</v>
      </c>
      <c r="AF119" s="36" t="s">
        <v>25</v>
      </c>
      <c r="AG119" s="36" t="s">
        <v>6</v>
      </c>
      <c r="AH119" s="36" t="s">
        <v>6</v>
      </c>
      <c r="AI119" s="36" t="s">
        <v>6</v>
      </c>
      <c r="AJ119" s="36">
        <f t="shared" si="1"/>
        <v>21</v>
      </c>
      <c r="AK119" s="36">
        <f t="shared" si="2"/>
        <v>2</v>
      </c>
      <c r="AL119" s="36">
        <f t="shared" si="3"/>
        <v>1</v>
      </c>
      <c r="AM119" s="36">
        <f t="shared" si="4"/>
        <v>1</v>
      </c>
      <c r="AN119" s="36">
        <f t="shared" si="5"/>
        <v>1</v>
      </c>
      <c r="AO119" s="36">
        <f t="shared" si="6"/>
        <v>0</v>
      </c>
      <c r="AP119" s="36">
        <f t="shared" si="7"/>
        <v>0</v>
      </c>
      <c r="AQ119" s="36">
        <f t="shared" si="8"/>
        <v>0</v>
      </c>
      <c r="AR119" s="36">
        <v>1.0</v>
      </c>
      <c r="AS119" s="36">
        <f t="shared" si="9"/>
        <v>0</v>
      </c>
      <c r="AT119" s="36">
        <v>2.0</v>
      </c>
      <c r="AU119" s="36">
        <f t="shared" si="10"/>
        <v>1</v>
      </c>
      <c r="AV119" s="36">
        <v>2.0</v>
      </c>
      <c r="AW119" s="37">
        <f t="shared" si="11"/>
        <v>27</v>
      </c>
      <c r="AX119" s="37">
        <f t="shared" si="12"/>
        <v>25</v>
      </c>
      <c r="AY119" s="36"/>
    </row>
    <row r="120" ht="15.75" customHeight="1">
      <c r="A120" s="38"/>
      <c r="B120" s="24" t="s">
        <v>48</v>
      </c>
      <c r="C120" s="31" t="s">
        <v>49</v>
      </c>
      <c r="D120" s="32" t="s">
        <v>125</v>
      </c>
      <c r="E120" s="33" t="s">
        <v>6</v>
      </c>
      <c r="F120" s="33" t="s">
        <v>6</v>
      </c>
      <c r="G120" s="33" t="s">
        <v>6</v>
      </c>
      <c r="H120" s="33" t="s">
        <v>6</v>
      </c>
      <c r="I120" s="33" t="s">
        <v>6</v>
      </c>
      <c r="J120" s="33" t="s">
        <v>6</v>
      </c>
      <c r="K120" s="33" t="s">
        <v>25</v>
      </c>
      <c r="L120" s="33" t="s">
        <v>9</v>
      </c>
      <c r="M120" s="33" t="s">
        <v>10</v>
      </c>
      <c r="N120" s="33" t="s">
        <v>6</v>
      </c>
      <c r="O120" s="33" t="s">
        <v>7</v>
      </c>
      <c r="P120" s="33" t="s">
        <v>6</v>
      </c>
      <c r="Q120" s="33" t="s">
        <v>6</v>
      </c>
      <c r="R120" s="33" t="s">
        <v>25</v>
      </c>
      <c r="S120" s="33" t="s">
        <v>6</v>
      </c>
      <c r="T120" s="33" t="s">
        <v>6</v>
      </c>
      <c r="U120" s="33" t="s">
        <v>6</v>
      </c>
      <c r="V120" s="33" t="s">
        <v>11</v>
      </c>
      <c r="W120" s="33" t="s">
        <v>11</v>
      </c>
      <c r="X120" s="33" t="s">
        <v>11</v>
      </c>
      <c r="Y120" s="33" t="s">
        <v>25</v>
      </c>
      <c r="Z120" s="33" t="s">
        <v>11</v>
      </c>
      <c r="AA120" s="33" t="s">
        <v>11</v>
      </c>
      <c r="AB120" s="33" t="s">
        <v>6</v>
      </c>
      <c r="AC120" s="33" t="s">
        <v>6</v>
      </c>
      <c r="AD120" s="33" t="s">
        <v>6</v>
      </c>
      <c r="AE120" s="33" t="s">
        <v>6</v>
      </c>
      <c r="AF120" s="33" t="s">
        <v>25</v>
      </c>
      <c r="AG120" s="33" t="s">
        <v>15</v>
      </c>
      <c r="AH120" s="33" t="s">
        <v>6</v>
      </c>
      <c r="AI120" s="33" t="s">
        <v>6</v>
      </c>
      <c r="AJ120" s="33">
        <f t="shared" si="1"/>
        <v>18</v>
      </c>
      <c r="AK120" s="33">
        <f t="shared" si="2"/>
        <v>1</v>
      </c>
      <c r="AL120" s="33">
        <f t="shared" si="3"/>
        <v>0</v>
      </c>
      <c r="AM120" s="33">
        <f t="shared" si="4"/>
        <v>1</v>
      </c>
      <c r="AN120" s="33">
        <f t="shared" si="5"/>
        <v>1</v>
      </c>
      <c r="AO120" s="33">
        <f t="shared" si="6"/>
        <v>5</v>
      </c>
      <c r="AP120" s="33">
        <f t="shared" si="7"/>
        <v>0</v>
      </c>
      <c r="AQ120" s="33">
        <f t="shared" si="8"/>
        <v>0</v>
      </c>
      <c r="AR120" s="33">
        <v>1.0</v>
      </c>
      <c r="AS120" s="33">
        <f t="shared" si="9"/>
        <v>1</v>
      </c>
      <c r="AT120" s="33">
        <v>2.0</v>
      </c>
      <c r="AU120" s="33">
        <f t="shared" si="10"/>
        <v>0</v>
      </c>
      <c r="AV120" s="33">
        <v>2.0</v>
      </c>
      <c r="AW120" s="34">
        <f t="shared" si="11"/>
        <v>27</v>
      </c>
      <c r="AX120" s="34">
        <f t="shared" si="12"/>
        <v>26</v>
      </c>
      <c r="AY120" s="33"/>
    </row>
    <row r="121" ht="15.75" customHeight="1">
      <c r="A121" s="38"/>
      <c r="B121" s="18" t="s">
        <v>50</v>
      </c>
      <c r="C121" s="29" t="s">
        <v>51</v>
      </c>
      <c r="D121" s="35" t="s">
        <v>125</v>
      </c>
      <c r="E121" s="36" t="s">
        <v>6</v>
      </c>
      <c r="F121" s="36" t="s">
        <v>6</v>
      </c>
      <c r="G121" s="36" t="s">
        <v>6</v>
      </c>
      <c r="H121" s="36" t="s">
        <v>6</v>
      </c>
      <c r="I121" s="36" t="s">
        <v>6</v>
      </c>
      <c r="J121" s="36" t="s">
        <v>6</v>
      </c>
      <c r="K121" s="36" t="s">
        <v>25</v>
      </c>
      <c r="L121" s="36" t="s">
        <v>9</v>
      </c>
      <c r="M121" s="36" t="s">
        <v>10</v>
      </c>
      <c r="N121" s="36" t="s">
        <v>6</v>
      </c>
      <c r="O121" s="36" t="s">
        <v>6</v>
      </c>
      <c r="P121" s="36" t="s">
        <v>6</v>
      </c>
      <c r="Q121" s="36" t="s">
        <v>6</v>
      </c>
      <c r="R121" s="36" t="s">
        <v>25</v>
      </c>
      <c r="S121" s="36" t="s">
        <v>6</v>
      </c>
      <c r="T121" s="36" t="s">
        <v>6</v>
      </c>
      <c r="U121" s="36" t="s">
        <v>6</v>
      </c>
      <c r="V121" s="36" t="s">
        <v>6</v>
      </c>
      <c r="W121" s="36" t="s">
        <v>6</v>
      </c>
      <c r="X121" s="36" t="s">
        <v>6</v>
      </c>
      <c r="Y121" s="36" t="s">
        <v>25</v>
      </c>
      <c r="Z121" s="36" t="s">
        <v>8</v>
      </c>
      <c r="AA121" s="36" t="s">
        <v>6</v>
      </c>
      <c r="AB121" s="36" t="s">
        <v>6</v>
      </c>
      <c r="AC121" s="36" t="s">
        <v>12</v>
      </c>
      <c r="AD121" s="36" t="s">
        <v>12</v>
      </c>
      <c r="AE121" s="36" t="s">
        <v>12</v>
      </c>
      <c r="AF121" s="36" t="s">
        <v>25</v>
      </c>
      <c r="AG121" s="36" t="s">
        <v>12</v>
      </c>
      <c r="AH121" s="36" t="s">
        <v>12</v>
      </c>
      <c r="AI121" s="36" t="s">
        <v>6</v>
      </c>
      <c r="AJ121" s="36">
        <f t="shared" si="1"/>
        <v>19</v>
      </c>
      <c r="AK121" s="36">
        <f t="shared" si="2"/>
        <v>0</v>
      </c>
      <c r="AL121" s="36">
        <f t="shared" si="3"/>
        <v>1</v>
      </c>
      <c r="AM121" s="36">
        <f t="shared" si="4"/>
        <v>1</v>
      </c>
      <c r="AN121" s="36">
        <f t="shared" si="5"/>
        <v>1</v>
      </c>
      <c r="AO121" s="36">
        <f t="shared" si="6"/>
        <v>0</v>
      </c>
      <c r="AP121" s="36">
        <f t="shared" si="7"/>
        <v>5</v>
      </c>
      <c r="AQ121" s="36">
        <f t="shared" si="8"/>
        <v>0</v>
      </c>
      <c r="AR121" s="36">
        <v>1.0</v>
      </c>
      <c r="AS121" s="36">
        <f t="shared" si="9"/>
        <v>0</v>
      </c>
      <c r="AT121" s="36">
        <v>2.0</v>
      </c>
      <c r="AU121" s="36">
        <f t="shared" si="10"/>
        <v>0</v>
      </c>
      <c r="AV121" s="36">
        <v>2.0</v>
      </c>
      <c r="AW121" s="37">
        <f t="shared" si="11"/>
        <v>27</v>
      </c>
      <c r="AX121" s="37">
        <f t="shared" si="12"/>
        <v>27</v>
      </c>
      <c r="AY121" s="36"/>
    </row>
    <row r="122" ht="15.75" customHeight="1">
      <c r="A122" s="38"/>
      <c r="B122" s="24" t="s">
        <v>52</v>
      </c>
      <c r="C122" s="31" t="s">
        <v>53</v>
      </c>
      <c r="D122" s="32" t="s">
        <v>125</v>
      </c>
      <c r="E122" s="33" t="s">
        <v>6</v>
      </c>
      <c r="F122" s="33" t="s">
        <v>6</v>
      </c>
      <c r="G122" s="33" t="s">
        <v>6</v>
      </c>
      <c r="H122" s="33" t="s">
        <v>6</v>
      </c>
      <c r="I122" s="33" t="s">
        <v>6</v>
      </c>
      <c r="J122" s="33" t="s">
        <v>6</v>
      </c>
      <c r="K122" s="33" t="s">
        <v>25</v>
      </c>
      <c r="L122" s="33" t="s">
        <v>9</v>
      </c>
      <c r="M122" s="33" t="s">
        <v>10</v>
      </c>
      <c r="N122" s="33" t="s">
        <v>6</v>
      </c>
      <c r="O122" s="33" t="s">
        <v>6</v>
      </c>
      <c r="P122" s="33" t="s">
        <v>6</v>
      </c>
      <c r="Q122" s="33" t="s">
        <v>6</v>
      </c>
      <c r="R122" s="33" t="s">
        <v>25</v>
      </c>
      <c r="S122" s="33" t="s">
        <v>6</v>
      </c>
      <c r="T122" s="33" t="s">
        <v>6</v>
      </c>
      <c r="U122" s="33" t="s">
        <v>6</v>
      </c>
      <c r="V122" s="33" t="s">
        <v>6</v>
      </c>
      <c r="W122" s="33" t="s">
        <v>6</v>
      </c>
      <c r="X122" s="33" t="s">
        <v>6</v>
      </c>
      <c r="Y122" s="33" t="s">
        <v>25</v>
      </c>
      <c r="Z122" s="33" t="s">
        <v>6</v>
      </c>
      <c r="AA122" s="33" t="s">
        <v>6</v>
      </c>
      <c r="AB122" s="33" t="s">
        <v>6</v>
      </c>
      <c r="AC122" s="33" t="s">
        <v>6</v>
      </c>
      <c r="AD122" s="33" t="s">
        <v>6</v>
      </c>
      <c r="AE122" s="33" t="s">
        <v>6</v>
      </c>
      <c r="AF122" s="33" t="s">
        <v>25</v>
      </c>
      <c r="AG122" s="33" t="s">
        <v>6</v>
      </c>
      <c r="AH122" s="33" t="s">
        <v>6</v>
      </c>
      <c r="AI122" s="33" t="s">
        <v>6</v>
      </c>
      <c r="AJ122" s="33">
        <f t="shared" si="1"/>
        <v>25</v>
      </c>
      <c r="AK122" s="33">
        <f t="shared" si="2"/>
        <v>0</v>
      </c>
      <c r="AL122" s="33">
        <f t="shared" si="3"/>
        <v>0</v>
      </c>
      <c r="AM122" s="33">
        <f t="shared" si="4"/>
        <v>1</v>
      </c>
      <c r="AN122" s="33">
        <f t="shared" si="5"/>
        <v>1</v>
      </c>
      <c r="AO122" s="33">
        <f t="shared" si="6"/>
        <v>0</v>
      </c>
      <c r="AP122" s="33">
        <f t="shared" si="7"/>
        <v>0</v>
      </c>
      <c r="AQ122" s="33">
        <f t="shared" si="8"/>
        <v>0</v>
      </c>
      <c r="AR122" s="33">
        <v>1.0</v>
      </c>
      <c r="AS122" s="33">
        <f t="shared" si="9"/>
        <v>0</v>
      </c>
      <c r="AT122" s="33">
        <v>2.0</v>
      </c>
      <c r="AU122" s="33">
        <f t="shared" si="10"/>
        <v>0</v>
      </c>
      <c r="AV122" s="33">
        <v>2.0</v>
      </c>
      <c r="AW122" s="34">
        <f t="shared" si="11"/>
        <v>27</v>
      </c>
      <c r="AX122" s="34">
        <f t="shared" si="12"/>
        <v>27</v>
      </c>
      <c r="AY122" s="33"/>
    </row>
    <row r="123" ht="15.75" customHeight="1">
      <c r="A123" s="38"/>
      <c r="B123" s="18" t="s">
        <v>54</v>
      </c>
      <c r="C123" s="29" t="s">
        <v>55</v>
      </c>
      <c r="D123" s="35" t="s">
        <v>125</v>
      </c>
      <c r="E123" s="36" t="s">
        <v>6</v>
      </c>
      <c r="F123" s="36" t="s">
        <v>6</v>
      </c>
      <c r="G123" s="36" t="s">
        <v>6</v>
      </c>
      <c r="H123" s="36" t="s">
        <v>6</v>
      </c>
      <c r="I123" s="36" t="s">
        <v>6</v>
      </c>
      <c r="J123" s="36" t="s">
        <v>6</v>
      </c>
      <c r="K123" s="36" t="s">
        <v>25</v>
      </c>
      <c r="L123" s="36" t="s">
        <v>9</v>
      </c>
      <c r="M123" s="36" t="s">
        <v>10</v>
      </c>
      <c r="N123" s="36" t="s">
        <v>6</v>
      </c>
      <c r="O123" s="36" t="s">
        <v>6</v>
      </c>
      <c r="P123" s="36" t="s">
        <v>6</v>
      </c>
      <c r="Q123" s="36" t="s">
        <v>6</v>
      </c>
      <c r="R123" s="36" t="s">
        <v>25</v>
      </c>
      <c r="S123" s="36" t="s">
        <v>6</v>
      </c>
      <c r="T123" s="36" t="s">
        <v>6</v>
      </c>
      <c r="U123" s="36" t="s">
        <v>6</v>
      </c>
      <c r="V123" s="36" t="s">
        <v>6</v>
      </c>
      <c r="W123" s="36" t="s">
        <v>6</v>
      </c>
      <c r="X123" s="36" t="s">
        <v>6</v>
      </c>
      <c r="Y123" s="36" t="s">
        <v>25</v>
      </c>
      <c r="Z123" s="36" t="s">
        <v>6</v>
      </c>
      <c r="AA123" s="36" t="s">
        <v>6</v>
      </c>
      <c r="AB123" s="36" t="s">
        <v>6</v>
      </c>
      <c r="AC123" s="36" t="s">
        <v>6</v>
      </c>
      <c r="AD123" s="36" t="s">
        <v>8</v>
      </c>
      <c r="AE123" s="36" t="s">
        <v>6</v>
      </c>
      <c r="AF123" s="36" t="s">
        <v>25</v>
      </c>
      <c r="AG123" s="36" t="s">
        <v>6</v>
      </c>
      <c r="AH123" s="36" t="s">
        <v>6</v>
      </c>
      <c r="AI123" s="36" t="s">
        <v>6</v>
      </c>
      <c r="AJ123" s="36">
        <f t="shared" si="1"/>
        <v>24</v>
      </c>
      <c r="AK123" s="36">
        <f t="shared" si="2"/>
        <v>0</v>
      </c>
      <c r="AL123" s="36">
        <f t="shared" si="3"/>
        <v>1</v>
      </c>
      <c r="AM123" s="36">
        <f t="shared" si="4"/>
        <v>1</v>
      </c>
      <c r="AN123" s="36">
        <f t="shared" si="5"/>
        <v>1</v>
      </c>
      <c r="AO123" s="36">
        <f t="shared" si="6"/>
        <v>0</v>
      </c>
      <c r="AP123" s="36">
        <f t="shared" si="7"/>
        <v>0</v>
      </c>
      <c r="AQ123" s="36">
        <f t="shared" si="8"/>
        <v>0</v>
      </c>
      <c r="AR123" s="36">
        <v>1.0</v>
      </c>
      <c r="AS123" s="36">
        <f t="shared" si="9"/>
        <v>0</v>
      </c>
      <c r="AT123" s="36">
        <v>2.0</v>
      </c>
      <c r="AU123" s="36">
        <f t="shared" si="10"/>
        <v>0</v>
      </c>
      <c r="AV123" s="36">
        <v>2.0</v>
      </c>
      <c r="AW123" s="37">
        <f t="shared" si="11"/>
        <v>27</v>
      </c>
      <c r="AX123" s="37">
        <f t="shared" si="12"/>
        <v>27</v>
      </c>
      <c r="AY123" s="36"/>
    </row>
    <row r="124" ht="15.75" customHeight="1">
      <c r="A124" s="38"/>
      <c r="B124" s="24" t="s">
        <v>56</v>
      </c>
      <c r="C124" s="31" t="s">
        <v>57</v>
      </c>
      <c r="D124" s="32" t="s">
        <v>125</v>
      </c>
      <c r="E124" s="33" t="s">
        <v>6</v>
      </c>
      <c r="F124" s="33" t="s">
        <v>6</v>
      </c>
      <c r="G124" s="33" t="s">
        <v>6</v>
      </c>
      <c r="H124" s="33" t="s">
        <v>6</v>
      </c>
      <c r="I124" s="33" t="s">
        <v>6</v>
      </c>
      <c r="J124" s="33" t="s">
        <v>6</v>
      </c>
      <c r="K124" s="33" t="s">
        <v>25</v>
      </c>
      <c r="L124" s="33" t="s">
        <v>9</v>
      </c>
      <c r="M124" s="33" t="s">
        <v>10</v>
      </c>
      <c r="N124" s="33" t="s">
        <v>6</v>
      </c>
      <c r="O124" s="33" t="s">
        <v>6</v>
      </c>
      <c r="P124" s="33" t="s">
        <v>6</v>
      </c>
      <c r="Q124" s="33" t="s">
        <v>6</v>
      </c>
      <c r="R124" s="33" t="s">
        <v>25</v>
      </c>
      <c r="S124" s="33" t="s">
        <v>6</v>
      </c>
      <c r="T124" s="33" t="s">
        <v>6</v>
      </c>
      <c r="U124" s="33" t="s">
        <v>6</v>
      </c>
      <c r="V124" s="33" t="s">
        <v>6</v>
      </c>
      <c r="W124" s="33" t="s">
        <v>6</v>
      </c>
      <c r="X124" s="33" t="s">
        <v>6</v>
      </c>
      <c r="Y124" s="33" t="s">
        <v>25</v>
      </c>
      <c r="Z124" s="33" t="s">
        <v>6</v>
      </c>
      <c r="AA124" s="33" t="s">
        <v>6</v>
      </c>
      <c r="AB124" s="33" t="s">
        <v>6</v>
      </c>
      <c r="AC124" s="33" t="s">
        <v>6</v>
      </c>
      <c r="AD124" s="33" t="s">
        <v>6</v>
      </c>
      <c r="AE124" s="33" t="s">
        <v>6</v>
      </c>
      <c r="AF124" s="33" t="s">
        <v>25</v>
      </c>
      <c r="AG124" s="33" t="s">
        <v>6</v>
      </c>
      <c r="AH124" s="33" t="s">
        <v>6</v>
      </c>
      <c r="AI124" s="33" t="s">
        <v>6</v>
      </c>
      <c r="AJ124" s="33">
        <f t="shared" si="1"/>
        <v>25</v>
      </c>
      <c r="AK124" s="33">
        <f t="shared" si="2"/>
        <v>0</v>
      </c>
      <c r="AL124" s="33">
        <f t="shared" si="3"/>
        <v>0</v>
      </c>
      <c r="AM124" s="33">
        <f t="shared" si="4"/>
        <v>1</v>
      </c>
      <c r="AN124" s="33">
        <f t="shared" si="5"/>
        <v>1</v>
      </c>
      <c r="AO124" s="33">
        <f t="shared" si="6"/>
        <v>0</v>
      </c>
      <c r="AP124" s="33">
        <f t="shared" si="7"/>
        <v>0</v>
      </c>
      <c r="AQ124" s="33">
        <f t="shared" si="8"/>
        <v>0</v>
      </c>
      <c r="AR124" s="33">
        <v>1.0</v>
      </c>
      <c r="AS124" s="33">
        <f t="shared" si="9"/>
        <v>0</v>
      </c>
      <c r="AT124" s="33">
        <v>2.0</v>
      </c>
      <c r="AU124" s="33">
        <f t="shared" si="10"/>
        <v>0</v>
      </c>
      <c r="AV124" s="33">
        <v>2.0</v>
      </c>
      <c r="AW124" s="34">
        <f t="shared" si="11"/>
        <v>27</v>
      </c>
      <c r="AX124" s="34">
        <f t="shared" si="12"/>
        <v>27</v>
      </c>
      <c r="AY124" s="33"/>
    </row>
    <row r="125" ht="15.75" customHeight="1">
      <c r="A125" s="38"/>
      <c r="B125" s="18" t="s">
        <v>58</v>
      </c>
      <c r="C125" s="29" t="s">
        <v>59</v>
      </c>
      <c r="D125" s="35" t="s">
        <v>125</v>
      </c>
      <c r="E125" s="36" t="s">
        <v>6</v>
      </c>
      <c r="F125" s="36" t="s">
        <v>6</v>
      </c>
      <c r="G125" s="36" t="s">
        <v>6</v>
      </c>
      <c r="H125" s="36" t="s">
        <v>6</v>
      </c>
      <c r="I125" s="36" t="s">
        <v>6</v>
      </c>
      <c r="J125" s="36" t="s">
        <v>6</v>
      </c>
      <c r="K125" s="36" t="s">
        <v>25</v>
      </c>
      <c r="L125" s="36" t="s">
        <v>9</v>
      </c>
      <c r="M125" s="36" t="s">
        <v>10</v>
      </c>
      <c r="N125" s="36" t="s">
        <v>6</v>
      </c>
      <c r="O125" s="36" t="s">
        <v>6</v>
      </c>
      <c r="P125" s="36" t="s">
        <v>6</v>
      </c>
      <c r="Q125" s="36" t="s">
        <v>6</v>
      </c>
      <c r="R125" s="36" t="s">
        <v>25</v>
      </c>
      <c r="S125" s="36" t="s">
        <v>6</v>
      </c>
      <c r="T125" s="36" t="s">
        <v>6</v>
      </c>
      <c r="U125" s="36" t="s">
        <v>6</v>
      </c>
      <c r="V125" s="36" t="s">
        <v>6</v>
      </c>
      <c r="W125" s="36" t="s">
        <v>6</v>
      </c>
      <c r="X125" s="36" t="s">
        <v>6</v>
      </c>
      <c r="Y125" s="36" t="s">
        <v>25</v>
      </c>
      <c r="Z125" s="36" t="s">
        <v>6</v>
      </c>
      <c r="AA125" s="36" t="s">
        <v>6</v>
      </c>
      <c r="AB125" s="36" t="s">
        <v>6</v>
      </c>
      <c r="AC125" s="36" t="s">
        <v>6</v>
      </c>
      <c r="AD125" s="36" t="s">
        <v>6</v>
      </c>
      <c r="AE125" s="36" t="s">
        <v>6</v>
      </c>
      <c r="AF125" s="36" t="s">
        <v>25</v>
      </c>
      <c r="AG125" s="36" t="s">
        <v>6</v>
      </c>
      <c r="AH125" s="36" t="s">
        <v>6</v>
      </c>
      <c r="AI125" s="36" t="s">
        <v>6</v>
      </c>
      <c r="AJ125" s="36">
        <f t="shared" si="1"/>
        <v>25</v>
      </c>
      <c r="AK125" s="36">
        <f t="shared" si="2"/>
        <v>0</v>
      </c>
      <c r="AL125" s="36">
        <f t="shared" si="3"/>
        <v>0</v>
      </c>
      <c r="AM125" s="36">
        <f t="shared" si="4"/>
        <v>1</v>
      </c>
      <c r="AN125" s="36">
        <f t="shared" si="5"/>
        <v>1</v>
      </c>
      <c r="AO125" s="36">
        <f t="shared" si="6"/>
        <v>0</v>
      </c>
      <c r="AP125" s="36">
        <f t="shared" si="7"/>
        <v>0</v>
      </c>
      <c r="AQ125" s="36">
        <f t="shared" si="8"/>
        <v>0</v>
      </c>
      <c r="AR125" s="36">
        <v>1.0</v>
      </c>
      <c r="AS125" s="36">
        <f t="shared" si="9"/>
        <v>0</v>
      </c>
      <c r="AT125" s="36">
        <v>2.0</v>
      </c>
      <c r="AU125" s="36">
        <f t="shared" si="10"/>
        <v>0</v>
      </c>
      <c r="AV125" s="36">
        <v>2.0</v>
      </c>
      <c r="AW125" s="37">
        <f t="shared" si="11"/>
        <v>27</v>
      </c>
      <c r="AX125" s="37">
        <f t="shared" si="12"/>
        <v>27</v>
      </c>
      <c r="AY125" s="36"/>
    </row>
    <row r="126" ht="15.75" customHeight="1">
      <c r="A126" s="38"/>
      <c r="B126" s="24" t="s">
        <v>60</v>
      </c>
      <c r="C126" s="31" t="s">
        <v>61</v>
      </c>
      <c r="D126" s="32" t="s">
        <v>125</v>
      </c>
      <c r="E126" s="33" t="s">
        <v>6</v>
      </c>
      <c r="F126" s="33" t="s">
        <v>6</v>
      </c>
      <c r="G126" s="33" t="s">
        <v>6</v>
      </c>
      <c r="H126" s="33" t="s">
        <v>6</v>
      </c>
      <c r="I126" s="33" t="s">
        <v>6</v>
      </c>
      <c r="J126" s="33" t="s">
        <v>6</v>
      </c>
      <c r="K126" s="33" t="s">
        <v>25</v>
      </c>
      <c r="L126" s="33" t="s">
        <v>9</v>
      </c>
      <c r="M126" s="33" t="s">
        <v>10</v>
      </c>
      <c r="N126" s="33" t="s">
        <v>6</v>
      </c>
      <c r="O126" s="33" t="s">
        <v>6</v>
      </c>
      <c r="P126" s="33" t="s">
        <v>6</v>
      </c>
      <c r="Q126" s="33" t="s">
        <v>6</v>
      </c>
      <c r="R126" s="33" t="s">
        <v>25</v>
      </c>
      <c r="S126" s="33" t="s">
        <v>6</v>
      </c>
      <c r="T126" s="33" t="s">
        <v>6</v>
      </c>
      <c r="U126" s="33" t="s">
        <v>6</v>
      </c>
      <c r="V126" s="33" t="s">
        <v>6</v>
      </c>
      <c r="W126" s="33" t="s">
        <v>6</v>
      </c>
      <c r="X126" s="33" t="s">
        <v>6</v>
      </c>
      <c r="Y126" s="33" t="s">
        <v>25</v>
      </c>
      <c r="Z126" s="33" t="s">
        <v>6</v>
      </c>
      <c r="AA126" s="33" t="s">
        <v>6</v>
      </c>
      <c r="AB126" s="33" t="s">
        <v>6</v>
      </c>
      <c r="AC126" s="33" t="s">
        <v>6</v>
      </c>
      <c r="AD126" s="33" t="s">
        <v>6</v>
      </c>
      <c r="AE126" s="33" t="s">
        <v>6</v>
      </c>
      <c r="AF126" s="33" t="s">
        <v>25</v>
      </c>
      <c r="AG126" s="33" t="s">
        <v>6</v>
      </c>
      <c r="AH126" s="33" t="s">
        <v>6</v>
      </c>
      <c r="AI126" s="33" t="s">
        <v>6</v>
      </c>
      <c r="AJ126" s="33">
        <f t="shared" si="1"/>
        <v>25</v>
      </c>
      <c r="AK126" s="33">
        <f t="shared" si="2"/>
        <v>0</v>
      </c>
      <c r="AL126" s="33">
        <f t="shared" si="3"/>
        <v>0</v>
      </c>
      <c r="AM126" s="33">
        <f t="shared" si="4"/>
        <v>1</v>
      </c>
      <c r="AN126" s="33">
        <f t="shared" si="5"/>
        <v>1</v>
      </c>
      <c r="AO126" s="33">
        <f t="shared" si="6"/>
        <v>0</v>
      </c>
      <c r="AP126" s="33">
        <f t="shared" si="7"/>
        <v>0</v>
      </c>
      <c r="AQ126" s="33">
        <f t="shared" si="8"/>
        <v>0</v>
      </c>
      <c r="AR126" s="33">
        <v>1.0</v>
      </c>
      <c r="AS126" s="33">
        <f t="shared" si="9"/>
        <v>0</v>
      </c>
      <c r="AT126" s="33">
        <v>2.0</v>
      </c>
      <c r="AU126" s="33">
        <f t="shared" si="10"/>
        <v>0</v>
      </c>
      <c r="AV126" s="33">
        <v>2.0</v>
      </c>
      <c r="AW126" s="34">
        <f t="shared" si="11"/>
        <v>27</v>
      </c>
      <c r="AX126" s="34">
        <f t="shared" si="12"/>
        <v>27</v>
      </c>
      <c r="AY126" s="33"/>
    </row>
    <row r="127" ht="15.75" customHeight="1">
      <c r="A127" s="38"/>
      <c r="B127" s="18" t="s">
        <v>62</v>
      </c>
      <c r="C127" s="29" t="s">
        <v>63</v>
      </c>
      <c r="D127" s="35" t="s">
        <v>125</v>
      </c>
      <c r="E127" s="36" t="s">
        <v>6</v>
      </c>
      <c r="F127" s="36" t="s">
        <v>6</v>
      </c>
      <c r="G127" s="36" t="s">
        <v>6</v>
      </c>
      <c r="H127" s="36" t="s">
        <v>6</v>
      </c>
      <c r="I127" s="36" t="s">
        <v>6</v>
      </c>
      <c r="J127" s="36" t="s">
        <v>6</v>
      </c>
      <c r="K127" s="36" t="s">
        <v>25</v>
      </c>
      <c r="L127" s="36" t="s">
        <v>9</v>
      </c>
      <c r="M127" s="36" t="s">
        <v>10</v>
      </c>
      <c r="N127" s="36" t="s">
        <v>6</v>
      </c>
      <c r="O127" s="36" t="s">
        <v>6</v>
      </c>
      <c r="P127" s="36" t="s">
        <v>6</v>
      </c>
      <c r="Q127" s="36" t="s">
        <v>6</v>
      </c>
      <c r="R127" s="36" t="s">
        <v>25</v>
      </c>
      <c r="S127" s="36" t="s">
        <v>6</v>
      </c>
      <c r="T127" s="36" t="s">
        <v>6</v>
      </c>
      <c r="U127" s="36" t="s">
        <v>6</v>
      </c>
      <c r="V127" s="36" t="s">
        <v>6</v>
      </c>
      <c r="W127" s="36" t="s">
        <v>6</v>
      </c>
      <c r="X127" s="36" t="s">
        <v>6</v>
      </c>
      <c r="Y127" s="36" t="s">
        <v>25</v>
      </c>
      <c r="Z127" s="36" t="s">
        <v>6</v>
      </c>
      <c r="AA127" s="36" t="s">
        <v>6</v>
      </c>
      <c r="AB127" s="36" t="s">
        <v>6</v>
      </c>
      <c r="AC127" s="36" t="s">
        <v>6</v>
      </c>
      <c r="AD127" s="36" t="s">
        <v>8</v>
      </c>
      <c r="AE127" s="36" t="s">
        <v>6</v>
      </c>
      <c r="AF127" s="36" t="s">
        <v>25</v>
      </c>
      <c r="AG127" s="36" t="s">
        <v>6</v>
      </c>
      <c r="AH127" s="36" t="s">
        <v>6</v>
      </c>
      <c r="AI127" s="36" t="s">
        <v>6</v>
      </c>
      <c r="AJ127" s="36">
        <f t="shared" si="1"/>
        <v>24</v>
      </c>
      <c r="AK127" s="36">
        <f t="shared" si="2"/>
        <v>0</v>
      </c>
      <c r="AL127" s="36">
        <f t="shared" si="3"/>
        <v>1</v>
      </c>
      <c r="AM127" s="36">
        <f t="shared" si="4"/>
        <v>1</v>
      </c>
      <c r="AN127" s="36">
        <f t="shared" si="5"/>
        <v>1</v>
      </c>
      <c r="AO127" s="36">
        <f t="shared" si="6"/>
        <v>0</v>
      </c>
      <c r="AP127" s="36">
        <f t="shared" si="7"/>
        <v>0</v>
      </c>
      <c r="AQ127" s="36">
        <f t="shared" si="8"/>
        <v>0</v>
      </c>
      <c r="AR127" s="36">
        <v>1.0</v>
      </c>
      <c r="AS127" s="36">
        <f t="shared" si="9"/>
        <v>0</v>
      </c>
      <c r="AT127" s="36">
        <v>2.0</v>
      </c>
      <c r="AU127" s="36">
        <f t="shared" si="10"/>
        <v>0</v>
      </c>
      <c r="AV127" s="36">
        <v>2.0</v>
      </c>
      <c r="AW127" s="37">
        <f t="shared" si="11"/>
        <v>27</v>
      </c>
      <c r="AX127" s="37">
        <f t="shared" si="12"/>
        <v>27</v>
      </c>
      <c r="AY127" s="36"/>
    </row>
    <row r="128" ht="15.75" customHeight="1">
      <c r="A128" s="38"/>
      <c r="B128" s="24" t="s">
        <v>64</v>
      </c>
      <c r="C128" s="31" t="s">
        <v>65</v>
      </c>
      <c r="D128" s="32" t="s">
        <v>125</v>
      </c>
      <c r="E128" s="33" t="s">
        <v>6</v>
      </c>
      <c r="F128" s="33" t="s">
        <v>6</v>
      </c>
      <c r="G128" s="33" t="s">
        <v>6</v>
      </c>
      <c r="H128" s="33" t="s">
        <v>6</v>
      </c>
      <c r="I128" s="33" t="s">
        <v>6</v>
      </c>
      <c r="J128" s="33" t="s">
        <v>6</v>
      </c>
      <c r="K128" s="33" t="s">
        <v>25</v>
      </c>
      <c r="L128" s="33" t="s">
        <v>9</v>
      </c>
      <c r="M128" s="33" t="s">
        <v>10</v>
      </c>
      <c r="N128" s="33" t="s">
        <v>6</v>
      </c>
      <c r="O128" s="33" t="s">
        <v>6</v>
      </c>
      <c r="P128" s="33" t="s">
        <v>6</v>
      </c>
      <c r="Q128" s="33" t="s">
        <v>6</v>
      </c>
      <c r="R128" s="33" t="s">
        <v>25</v>
      </c>
      <c r="S128" s="33" t="s">
        <v>6</v>
      </c>
      <c r="T128" s="33" t="s">
        <v>6</v>
      </c>
      <c r="U128" s="33" t="s">
        <v>6</v>
      </c>
      <c r="V128" s="33" t="s">
        <v>6</v>
      </c>
      <c r="W128" s="33" t="s">
        <v>6</v>
      </c>
      <c r="X128" s="33" t="s">
        <v>6</v>
      </c>
      <c r="Y128" s="33" t="s">
        <v>25</v>
      </c>
      <c r="Z128" s="33" t="s">
        <v>6</v>
      </c>
      <c r="AA128" s="33" t="s">
        <v>6</v>
      </c>
      <c r="AB128" s="33" t="s">
        <v>6</v>
      </c>
      <c r="AC128" s="33" t="s">
        <v>6</v>
      </c>
      <c r="AD128" s="33" t="s">
        <v>6</v>
      </c>
      <c r="AE128" s="33" t="s">
        <v>6</v>
      </c>
      <c r="AF128" s="33" t="s">
        <v>25</v>
      </c>
      <c r="AG128" s="33" t="s">
        <v>6</v>
      </c>
      <c r="AH128" s="33" t="s">
        <v>6</v>
      </c>
      <c r="AI128" s="33" t="s">
        <v>6</v>
      </c>
      <c r="AJ128" s="33">
        <f t="shared" si="1"/>
        <v>25</v>
      </c>
      <c r="AK128" s="33">
        <f t="shared" si="2"/>
        <v>0</v>
      </c>
      <c r="AL128" s="33">
        <f t="shared" si="3"/>
        <v>0</v>
      </c>
      <c r="AM128" s="33">
        <f t="shared" si="4"/>
        <v>1</v>
      </c>
      <c r="AN128" s="33">
        <f t="shared" si="5"/>
        <v>1</v>
      </c>
      <c r="AO128" s="33">
        <f t="shared" si="6"/>
        <v>0</v>
      </c>
      <c r="AP128" s="33">
        <f t="shared" si="7"/>
        <v>0</v>
      </c>
      <c r="AQ128" s="33">
        <f t="shared" si="8"/>
        <v>0</v>
      </c>
      <c r="AR128" s="33">
        <v>1.0</v>
      </c>
      <c r="AS128" s="33">
        <f t="shared" si="9"/>
        <v>0</v>
      </c>
      <c r="AT128" s="33">
        <v>2.0</v>
      </c>
      <c r="AU128" s="33">
        <f t="shared" si="10"/>
        <v>0</v>
      </c>
      <c r="AV128" s="33">
        <v>2.0</v>
      </c>
      <c r="AW128" s="34">
        <f t="shared" si="11"/>
        <v>27</v>
      </c>
      <c r="AX128" s="34">
        <f t="shared" si="12"/>
        <v>27</v>
      </c>
      <c r="AY128" s="33"/>
    </row>
    <row r="129" ht="15.75" customHeight="1">
      <c r="A129" s="38"/>
      <c r="B129" s="18" t="s">
        <v>66</v>
      </c>
      <c r="C129" s="29" t="s">
        <v>67</v>
      </c>
      <c r="D129" s="35" t="s">
        <v>125</v>
      </c>
      <c r="E129" s="36" t="s">
        <v>6</v>
      </c>
      <c r="F129" s="36" t="s">
        <v>6</v>
      </c>
      <c r="G129" s="36" t="s">
        <v>6</v>
      </c>
      <c r="H129" s="36" t="s">
        <v>6</v>
      </c>
      <c r="I129" s="36" t="s">
        <v>6</v>
      </c>
      <c r="J129" s="36" t="s">
        <v>6</v>
      </c>
      <c r="K129" s="36" t="s">
        <v>25</v>
      </c>
      <c r="L129" s="36" t="s">
        <v>9</v>
      </c>
      <c r="M129" s="36" t="s">
        <v>10</v>
      </c>
      <c r="N129" s="36" t="s">
        <v>6</v>
      </c>
      <c r="O129" s="36" t="s">
        <v>6</v>
      </c>
      <c r="P129" s="36" t="s">
        <v>6</v>
      </c>
      <c r="Q129" s="36" t="s">
        <v>6</v>
      </c>
      <c r="R129" s="36" t="s">
        <v>25</v>
      </c>
      <c r="S129" s="36" t="s">
        <v>6</v>
      </c>
      <c r="T129" s="36" t="s">
        <v>6</v>
      </c>
      <c r="U129" s="36" t="s">
        <v>6</v>
      </c>
      <c r="V129" s="36" t="s">
        <v>6</v>
      </c>
      <c r="W129" s="36" t="s">
        <v>6</v>
      </c>
      <c r="X129" s="36" t="s">
        <v>6</v>
      </c>
      <c r="Y129" s="36" t="s">
        <v>25</v>
      </c>
      <c r="Z129" s="36" t="s">
        <v>6</v>
      </c>
      <c r="AA129" s="36" t="s">
        <v>6</v>
      </c>
      <c r="AB129" s="36" t="s">
        <v>6</v>
      </c>
      <c r="AC129" s="36" t="s">
        <v>6</v>
      </c>
      <c r="AD129" s="36" t="s">
        <v>6</v>
      </c>
      <c r="AE129" s="36" t="s">
        <v>6</v>
      </c>
      <c r="AF129" s="36" t="s">
        <v>25</v>
      </c>
      <c r="AG129" s="36" t="s">
        <v>6</v>
      </c>
      <c r="AH129" s="36" t="s">
        <v>6</v>
      </c>
      <c r="AI129" s="36" t="s">
        <v>6</v>
      </c>
      <c r="AJ129" s="36">
        <f t="shared" si="1"/>
        <v>25</v>
      </c>
      <c r="AK129" s="36">
        <f t="shared" si="2"/>
        <v>0</v>
      </c>
      <c r="AL129" s="36">
        <f t="shared" si="3"/>
        <v>0</v>
      </c>
      <c r="AM129" s="36">
        <f t="shared" si="4"/>
        <v>1</v>
      </c>
      <c r="AN129" s="36">
        <f t="shared" si="5"/>
        <v>1</v>
      </c>
      <c r="AO129" s="36">
        <f t="shared" si="6"/>
        <v>0</v>
      </c>
      <c r="AP129" s="36">
        <f t="shared" si="7"/>
        <v>0</v>
      </c>
      <c r="AQ129" s="36">
        <f t="shared" si="8"/>
        <v>0</v>
      </c>
      <c r="AR129" s="36">
        <v>1.0</v>
      </c>
      <c r="AS129" s="36">
        <f t="shared" si="9"/>
        <v>0</v>
      </c>
      <c r="AT129" s="36">
        <v>2.0</v>
      </c>
      <c r="AU129" s="36">
        <f t="shared" si="10"/>
        <v>0</v>
      </c>
      <c r="AV129" s="36">
        <v>2.0</v>
      </c>
      <c r="AW129" s="37">
        <f t="shared" si="11"/>
        <v>27</v>
      </c>
      <c r="AX129" s="37">
        <f t="shared" si="12"/>
        <v>27</v>
      </c>
      <c r="AY129" s="36"/>
    </row>
    <row r="130" ht="15.75" customHeight="1">
      <c r="A130" s="38"/>
      <c r="B130" s="24" t="s">
        <v>68</v>
      </c>
      <c r="C130" s="31" t="s">
        <v>69</v>
      </c>
      <c r="D130" s="32" t="s">
        <v>125</v>
      </c>
      <c r="E130" s="33" t="s">
        <v>6</v>
      </c>
      <c r="F130" s="33" t="s">
        <v>6</v>
      </c>
      <c r="G130" s="33" t="s">
        <v>6</v>
      </c>
      <c r="H130" s="33" t="s">
        <v>6</v>
      </c>
      <c r="I130" s="33" t="s">
        <v>6</v>
      </c>
      <c r="J130" s="33" t="s">
        <v>6</v>
      </c>
      <c r="K130" s="33" t="s">
        <v>25</v>
      </c>
      <c r="L130" s="33" t="s">
        <v>9</v>
      </c>
      <c r="M130" s="33" t="s">
        <v>10</v>
      </c>
      <c r="N130" s="33" t="s">
        <v>6</v>
      </c>
      <c r="O130" s="33" t="s">
        <v>6</v>
      </c>
      <c r="P130" s="33" t="s">
        <v>6</v>
      </c>
      <c r="Q130" s="33" t="s">
        <v>6</v>
      </c>
      <c r="R130" s="33" t="s">
        <v>25</v>
      </c>
      <c r="S130" s="33" t="s">
        <v>6</v>
      </c>
      <c r="T130" s="33" t="s">
        <v>6</v>
      </c>
      <c r="U130" s="33" t="s">
        <v>6</v>
      </c>
      <c r="V130" s="33" t="s">
        <v>6</v>
      </c>
      <c r="W130" s="33" t="s">
        <v>6</v>
      </c>
      <c r="X130" s="33" t="s">
        <v>6</v>
      </c>
      <c r="Y130" s="33" t="s">
        <v>25</v>
      </c>
      <c r="Z130" s="33" t="s">
        <v>6</v>
      </c>
      <c r="AA130" s="33" t="s">
        <v>6</v>
      </c>
      <c r="AB130" s="33" t="s">
        <v>6</v>
      </c>
      <c r="AC130" s="33" t="s">
        <v>6</v>
      </c>
      <c r="AD130" s="33" t="s">
        <v>6</v>
      </c>
      <c r="AE130" s="33" t="s">
        <v>6</v>
      </c>
      <c r="AF130" s="33" t="s">
        <v>25</v>
      </c>
      <c r="AG130" s="33" t="s">
        <v>6</v>
      </c>
      <c r="AH130" s="33" t="s">
        <v>6</v>
      </c>
      <c r="AI130" s="33" t="s">
        <v>6</v>
      </c>
      <c r="AJ130" s="33">
        <f t="shared" si="1"/>
        <v>25</v>
      </c>
      <c r="AK130" s="33">
        <f t="shared" si="2"/>
        <v>0</v>
      </c>
      <c r="AL130" s="33">
        <f t="shared" si="3"/>
        <v>0</v>
      </c>
      <c r="AM130" s="33">
        <f t="shared" si="4"/>
        <v>1</v>
      </c>
      <c r="AN130" s="33">
        <f t="shared" si="5"/>
        <v>1</v>
      </c>
      <c r="AO130" s="33">
        <f t="shared" si="6"/>
        <v>0</v>
      </c>
      <c r="AP130" s="33">
        <f t="shared" si="7"/>
        <v>0</v>
      </c>
      <c r="AQ130" s="33">
        <f t="shared" si="8"/>
        <v>0</v>
      </c>
      <c r="AR130" s="33">
        <v>1.0</v>
      </c>
      <c r="AS130" s="33">
        <f t="shared" si="9"/>
        <v>0</v>
      </c>
      <c r="AT130" s="33">
        <v>2.0</v>
      </c>
      <c r="AU130" s="33">
        <f t="shared" si="10"/>
        <v>0</v>
      </c>
      <c r="AV130" s="33">
        <v>2.0</v>
      </c>
      <c r="AW130" s="34">
        <f t="shared" si="11"/>
        <v>27</v>
      </c>
      <c r="AX130" s="34">
        <f t="shared" si="12"/>
        <v>27</v>
      </c>
      <c r="AY130" s="33"/>
    </row>
    <row r="131" ht="15.75" customHeight="1">
      <c r="A131" s="38"/>
      <c r="B131" s="18" t="s">
        <v>70</v>
      </c>
      <c r="C131" s="29" t="s">
        <v>71</v>
      </c>
      <c r="D131" s="35" t="s">
        <v>125</v>
      </c>
      <c r="E131" s="36" t="s">
        <v>6</v>
      </c>
      <c r="F131" s="36" t="s">
        <v>6</v>
      </c>
      <c r="G131" s="36" t="s">
        <v>6</v>
      </c>
      <c r="H131" s="36" t="s">
        <v>6</v>
      </c>
      <c r="I131" s="36" t="s">
        <v>6</v>
      </c>
      <c r="J131" s="36" t="s">
        <v>6</v>
      </c>
      <c r="K131" s="36" t="s">
        <v>25</v>
      </c>
      <c r="L131" s="36" t="s">
        <v>9</v>
      </c>
      <c r="M131" s="36" t="s">
        <v>10</v>
      </c>
      <c r="N131" s="36" t="s">
        <v>6</v>
      </c>
      <c r="O131" s="36" t="s">
        <v>6</v>
      </c>
      <c r="P131" s="36" t="s">
        <v>6</v>
      </c>
      <c r="Q131" s="36" t="s">
        <v>6</v>
      </c>
      <c r="R131" s="36" t="s">
        <v>25</v>
      </c>
      <c r="S131" s="36" t="s">
        <v>6</v>
      </c>
      <c r="T131" s="36" t="s">
        <v>6</v>
      </c>
      <c r="U131" s="36" t="s">
        <v>6</v>
      </c>
      <c r="V131" s="36" t="s">
        <v>6</v>
      </c>
      <c r="W131" s="36" t="s">
        <v>6</v>
      </c>
      <c r="X131" s="36" t="s">
        <v>6</v>
      </c>
      <c r="Y131" s="36" t="s">
        <v>25</v>
      </c>
      <c r="Z131" s="36" t="s">
        <v>6</v>
      </c>
      <c r="AA131" s="36" t="s">
        <v>6</v>
      </c>
      <c r="AB131" s="36" t="s">
        <v>6</v>
      </c>
      <c r="AC131" s="36" t="s">
        <v>6</v>
      </c>
      <c r="AD131" s="36" t="s">
        <v>6</v>
      </c>
      <c r="AE131" s="36" t="s">
        <v>6</v>
      </c>
      <c r="AF131" s="36" t="s">
        <v>25</v>
      </c>
      <c r="AG131" s="36" t="s">
        <v>6</v>
      </c>
      <c r="AH131" s="36" t="s">
        <v>6</v>
      </c>
      <c r="AI131" s="36" t="s">
        <v>6</v>
      </c>
      <c r="AJ131" s="36">
        <f t="shared" si="1"/>
        <v>25</v>
      </c>
      <c r="AK131" s="36">
        <f t="shared" si="2"/>
        <v>0</v>
      </c>
      <c r="AL131" s="36">
        <f t="shared" si="3"/>
        <v>0</v>
      </c>
      <c r="AM131" s="36">
        <f t="shared" si="4"/>
        <v>1</v>
      </c>
      <c r="AN131" s="36">
        <f t="shared" si="5"/>
        <v>1</v>
      </c>
      <c r="AO131" s="36">
        <f t="shared" si="6"/>
        <v>0</v>
      </c>
      <c r="AP131" s="36">
        <f t="shared" si="7"/>
        <v>0</v>
      </c>
      <c r="AQ131" s="36">
        <f t="shared" si="8"/>
        <v>0</v>
      </c>
      <c r="AR131" s="36">
        <v>1.0</v>
      </c>
      <c r="AS131" s="36">
        <f t="shared" si="9"/>
        <v>0</v>
      </c>
      <c r="AT131" s="36">
        <v>2.0</v>
      </c>
      <c r="AU131" s="36">
        <f t="shared" si="10"/>
        <v>0</v>
      </c>
      <c r="AV131" s="36">
        <v>2.0</v>
      </c>
      <c r="AW131" s="37">
        <f t="shared" si="11"/>
        <v>27</v>
      </c>
      <c r="AX131" s="37">
        <f t="shared" si="12"/>
        <v>27</v>
      </c>
      <c r="AY131" s="36"/>
    </row>
    <row r="132" ht="15.75" customHeight="1">
      <c r="A132" s="38"/>
      <c r="B132" s="24" t="s">
        <v>72</v>
      </c>
      <c r="C132" s="31" t="s">
        <v>73</v>
      </c>
      <c r="D132" s="32" t="s">
        <v>125</v>
      </c>
      <c r="E132" s="33" t="s">
        <v>6</v>
      </c>
      <c r="F132" s="33" t="s">
        <v>6</v>
      </c>
      <c r="G132" s="33" t="s">
        <v>6</v>
      </c>
      <c r="H132" s="33" t="s">
        <v>6</v>
      </c>
      <c r="I132" s="33" t="s">
        <v>6</v>
      </c>
      <c r="J132" s="33" t="s">
        <v>6</v>
      </c>
      <c r="K132" s="33" t="s">
        <v>25</v>
      </c>
      <c r="L132" s="33" t="s">
        <v>9</v>
      </c>
      <c r="M132" s="33" t="s">
        <v>10</v>
      </c>
      <c r="N132" s="33" t="s">
        <v>6</v>
      </c>
      <c r="O132" s="33" t="s">
        <v>6</v>
      </c>
      <c r="P132" s="33" t="s">
        <v>6</v>
      </c>
      <c r="Q132" s="33" t="s">
        <v>6</v>
      </c>
      <c r="R132" s="33" t="s">
        <v>25</v>
      </c>
      <c r="S132" s="33" t="s">
        <v>6</v>
      </c>
      <c r="T132" s="33" t="s">
        <v>6</v>
      </c>
      <c r="U132" s="33" t="s">
        <v>6</v>
      </c>
      <c r="V132" s="33" t="s">
        <v>6</v>
      </c>
      <c r="W132" s="33" t="s">
        <v>6</v>
      </c>
      <c r="X132" s="33" t="s">
        <v>6</v>
      </c>
      <c r="Y132" s="33" t="s">
        <v>25</v>
      </c>
      <c r="Z132" s="33" t="s">
        <v>6</v>
      </c>
      <c r="AA132" s="33" t="s">
        <v>6</v>
      </c>
      <c r="AB132" s="33" t="s">
        <v>6</v>
      </c>
      <c r="AC132" s="33" t="s">
        <v>6</v>
      </c>
      <c r="AD132" s="33" t="s">
        <v>8</v>
      </c>
      <c r="AE132" s="33" t="s">
        <v>6</v>
      </c>
      <c r="AF132" s="33" t="s">
        <v>25</v>
      </c>
      <c r="AG132" s="33" t="s">
        <v>6</v>
      </c>
      <c r="AH132" s="33" t="s">
        <v>6</v>
      </c>
      <c r="AI132" s="33" t="s">
        <v>6</v>
      </c>
      <c r="AJ132" s="33">
        <f t="shared" si="1"/>
        <v>24</v>
      </c>
      <c r="AK132" s="33">
        <f t="shared" si="2"/>
        <v>0</v>
      </c>
      <c r="AL132" s="33">
        <f t="shared" si="3"/>
        <v>1</v>
      </c>
      <c r="AM132" s="33">
        <f t="shared" si="4"/>
        <v>1</v>
      </c>
      <c r="AN132" s="33">
        <f t="shared" si="5"/>
        <v>1</v>
      </c>
      <c r="AO132" s="33">
        <f t="shared" si="6"/>
        <v>0</v>
      </c>
      <c r="AP132" s="33">
        <f t="shared" si="7"/>
        <v>0</v>
      </c>
      <c r="AQ132" s="33">
        <f t="shared" si="8"/>
        <v>0</v>
      </c>
      <c r="AR132" s="33">
        <v>1.0</v>
      </c>
      <c r="AS132" s="33">
        <f t="shared" si="9"/>
        <v>0</v>
      </c>
      <c r="AT132" s="33">
        <v>2.0</v>
      </c>
      <c r="AU132" s="33">
        <f t="shared" si="10"/>
        <v>0</v>
      </c>
      <c r="AV132" s="33">
        <v>2.0</v>
      </c>
      <c r="AW132" s="34">
        <f t="shared" si="11"/>
        <v>27</v>
      </c>
      <c r="AX132" s="34">
        <f t="shared" si="12"/>
        <v>27</v>
      </c>
      <c r="AY132" s="33"/>
    </row>
    <row r="133" ht="15.75" customHeight="1">
      <c r="A133" s="38"/>
      <c r="B133" s="18" t="s">
        <v>74</v>
      </c>
      <c r="C133" s="29" t="s">
        <v>75</v>
      </c>
      <c r="D133" s="35" t="s">
        <v>125</v>
      </c>
      <c r="E133" s="36" t="s">
        <v>6</v>
      </c>
      <c r="F133" s="36" t="s">
        <v>6</v>
      </c>
      <c r="G133" s="36" t="s">
        <v>6</v>
      </c>
      <c r="H133" s="36" t="s">
        <v>6</v>
      </c>
      <c r="I133" s="36" t="s">
        <v>6</v>
      </c>
      <c r="J133" s="36" t="s">
        <v>6</v>
      </c>
      <c r="K133" s="36" t="s">
        <v>25</v>
      </c>
      <c r="L133" s="36" t="s">
        <v>9</v>
      </c>
      <c r="M133" s="36" t="s">
        <v>10</v>
      </c>
      <c r="N133" s="36" t="s">
        <v>6</v>
      </c>
      <c r="O133" s="36" t="s">
        <v>6</v>
      </c>
      <c r="P133" s="36" t="s">
        <v>6</v>
      </c>
      <c r="Q133" s="36" t="s">
        <v>6</v>
      </c>
      <c r="R133" s="36" t="s">
        <v>25</v>
      </c>
      <c r="S133" s="36" t="s">
        <v>6</v>
      </c>
      <c r="T133" s="36" t="s">
        <v>6</v>
      </c>
      <c r="U133" s="36" t="s">
        <v>6</v>
      </c>
      <c r="V133" s="36" t="s">
        <v>6</v>
      </c>
      <c r="W133" s="36" t="s">
        <v>6</v>
      </c>
      <c r="X133" s="36" t="s">
        <v>6</v>
      </c>
      <c r="Y133" s="36" t="s">
        <v>25</v>
      </c>
      <c r="Z133" s="36" t="s">
        <v>6</v>
      </c>
      <c r="AA133" s="36" t="s">
        <v>6</v>
      </c>
      <c r="AB133" s="36" t="s">
        <v>6</v>
      </c>
      <c r="AC133" s="36" t="s">
        <v>6</v>
      </c>
      <c r="AD133" s="36" t="s">
        <v>6</v>
      </c>
      <c r="AE133" s="36" t="s">
        <v>6</v>
      </c>
      <c r="AF133" s="36" t="s">
        <v>25</v>
      </c>
      <c r="AG133" s="36" t="s">
        <v>6</v>
      </c>
      <c r="AH133" s="36" t="s">
        <v>6</v>
      </c>
      <c r="AI133" s="36" t="s">
        <v>6</v>
      </c>
      <c r="AJ133" s="36">
        <f t="shared" si="1"/>
        <v>25</v>
      </c>
      <c r="AK133" s="36">
        <f t="shared" si="2"/>
        <v>0</v>
      </c>
      <c r="AL133" s="36">
        <f t="shared" si="3"/>
        <v>0</v>
      </c>
      <c r="AM133" s="36">
        <f t="shared" si="4"/>
        <v>1</v>
      </c>
      <c r="AN133" s="36">
        <f t="shared" si="5"/>
        <v>1</v>
      </c>
      <c r="AO133" s="36">
        <f t="shared" si="6"/>
        <v>0</v>
      </c>
      <c r="AP133" s="36">
        <f t="shared" si="7"/>
        <v>0</v>
      </c>
      <c r="AQ133" s="36">
        <f t="shared" si="8"/>
        <v>0</v>
      </c>
      <c r="AR133" s="36">
        <v>1.0</v>
      </c>
      <c r="AS133" s="36">
        <f t="shared" si="9"/>
        <v>0</v>
      </c>
      <c r="AT133" s="36">
        <v>2.0</v>
      </c>
      <c r="AU133" s="36">
        <f t="shared" si="10"/>
        <v>0</v>
      </c>
      <c r="AV133" s="36">
        <v>2.0</v>
      </c>
      <c r="AW133" s="37">
        <f t="shared" si="11"/>
        <v>27</v>
      </c>
      <c r="AX133" s="37">
        <f t="shared" si="12"/>
        <v>27</v>
      </c>
      <c r="AY133" s="36"/>
    </row>
    <row r="134" ht="15.75" customHeight="1">
      <c r="A134" s="38"/>
      <c r="B134" s="24" t="s">
        <v>76</v>
      </c>
      <c r="C134" s="31" t="s">
        <v>77</v>
      </c>
      <c r="D134" s="32" t="s">
        <v>125</v>
      </c>
      <c r="E134" s="33" t="s">
        <v>6</v>
      </c>
      <c r="F134" s="33" t="s">
        <v>6</v>
      </c>
      <c r="G134" s="33" t="s">
        <v>6</v>
      </c>
      <c r="H134" s="33" t="s">
        <v>6</v>
      </c>
      <c r="I134" s="33" t="s">
        <v>6</v>
      </c>
      <c r="J134" s="33" t="s">
        <v>6</v>
      </c>
      <c r="K134" s="33" t="s">
        <v>25</v>
      </c>
      <c r="L134" s="33" t="s">
        <v>9</v>
      </c>
      <c r="M134" s="33" t="s">
        <v>10</v>
      </c>
      <c r="N134" s="33" t="s">
        <v>6</v>
      </c>
      <c r="O134" s="33" t="s">
        <v>6</v>
      </c>
      <c r="P134" s="33" t="s">
        <v>6</v>
      </c>
      <c r="Q134" s="33" t="s">
        <v>6</v>
      </c>
      <c r="R134" s="33" t="s">
        <v>25</v>
      </c>
      <c r="S134" s="33" t="s">
        <v>6</v>
      </c>
      <c r="T134" s="33" t="s">
        <v>6</v>
      </c>
      <c r="U134" s="33" t="s">
        <v>6</v>
      </c>
      <c r="V134" s="33" t="s">
        <v>6</v>
      </c>
      <c r="W134" s="33" t="s">
        <v>6</v>
      </c>
      <c r="X134" s="33" t="s">
        <v>6</v>
      </c>
      <c r="Y134" s="33" t="s">
        <v>25</v>
      </c>
      <c r="Z134" s="33" t="s">
        <v>6</v>
      </c>
      <c r="AA134" s="33" t="s">
        <v>6</v>
      </c>
      <c r="AB134" s="33" t="s">
        <v>6</v>
      </c>
      <c r="AC134" s="33" t="s">
        <v>6</v>
      </c>
      <c r="AD134" s="33" t="s">
        <v>6</v>
      </c>
      <c r="AE134" s="33" t="s">
        <v>6</v>
      </c>
      <c r="AF134" s="33" t="s">
        <v>25</v>
      </c>
      <c r="AG134" s="33" t="s">
        <v>6</v>
      </c>
      <c r="AH134" s="33" t="s">
        <v>6</v>
      </c>
      <c r="AI134" s="33" t="s">
        <v>6</v>
      </c>
      <c r="AJ134" s="33">
        <f t="shared" si="1"/>
        <v>25</v>
      </c>
      <c r="AK134" s="33">
        <f t="shared" si="2"/>
        <v>0</v>
      </c>
      <c r="AL134" s="33">
        <f t="shared" si="3"/>
        <v>0</v>
      </c>
      <c r="AM134" s="33">
        <f t="shared" si="4"/>
        <v>1</v>
      </c>
      <c r="AN134" s="33">
        <f t="shared" si="5"/>
        <v>1</v>
      </c>
      <c r="AO134" s="33">
        <f t="shared" si="6"/>
        <v>0</v>
      </c>
      <c r="AP134" s="33">
        <f t="shared" si="7"/>
        <v>0</v>
      </c>
      <c r="AQ134" s="33">
        <f t="shared" si="8"/>
        <v>0</v>
      </c>
      <c r="AR134" s="33">
        <v>1.0</v>
      </c>
      <c r="AS134" s="33">
        <f t="shared" si="9"/>
        <v>0</v>
      </c>
      <c r="AT134" s="33">
        <v>2.0</v>
      </c>
      <c r="AU134" s="33">
        <f t="shared" si="10"/>
        <v>0</v>
      </c>
      <c r="AV134" s="33">
        <v>2.0</v>
      </c>
      <c r="AW134" s="34">
        <f t="shared" si="11"/>
        <v>27</v>
      </c>
      <c r="AX134" s="34">
        <f t="shared" si="12"/>
        <v>27</v>
      </c>
      <c r="AY134" s="33"/>
    </row>
    <row r="135" ht="15.75" customHeight="1">
      <c r="A135" s="38"/>
      <c r="B135" s="18" t="s">
        <v>78</v>
      </c>
      <c r="C135" s="29" t="s">
        <v>79</v>
      </c>
      <c r="D135" s="35" t="s">
        <v>125</v>
      </c>
      <c r="E135" s="36" t="s">
        <v>6</v>
      </c>
      <c r="F135" s="36" t="s">
        <v>6</v>
      </c>
      <c r="G135" s="36" t="s">
        <v>6</v>
      </c>
      <c r="H135" s="36" t="s">
        <v>6</v>
      </c>
      <c r="I135" s="36" t="s">
        <v>6</v>
      </c>
      <c r="J135" s="36" t="s">
        <v>6</v>
      </c>
      <c r="K135" s="36" t="s">
        <v>25</v>
      </c>
      <c r="L135" s="36" t="s">
        <v>9</v>
      </c>
      <c r="M135" s="36" t="s">
        <v>10</v>
      </c>
      <c r="N135" s="36" t="s">
        <v>6</v>
      </c>
      <c r="O135" s="36" t="s">
        <v>6</v>
      </c>
      <c r="P135" s="36" t="s">
        <v>6</v>
      </c>
      <c r="Q135" s="36" t="s">
        <v>6</v>
      </c>
      <c r="R135" s="36" t="s">
        <v>25</v>
      </c>
      <c r="S135" s="36" t="s">
        <v>6</v>
      </c>
      <c r="T135" s="36" t="s">
        <v>6</v>
      </c>
      <c r="U135" s="36" t="s">
        <v>6</v>
      </c>
      <c r="V135" s="36" t="s">
        <v>6</v>
      </c>
      <c r="W135" s="36" t="s">
        <v>6</v>
      </c>
      <c r="X135" s="36" t="s">
        <v>6</v>
      </c>
      <c r="Y135" s="36" t="s">
        <v>25</v>
      </c>
      <c r="Z135" s="36" t="s">
        <v>6</v>
      </c>
      <c r="AA135" s="36" t="s">
        <v>6</v>
      </c>
      <c r="AB135" s="36" t="s">
        <v>6</v>
      </c>
      <c r="AC135" s="36" t="s">
        <v>6</v>
      </c>
      <c r="AD135" s="36" t="s">
        <v>8</v>
      </c>
      <c r="AE135" s="36" t="s">
        <v>6</v>
      </c>
      <c r="AF135" s="36" t="s">
        <v>25</v>
      </c>
      <c r="AG135" s="36" t="s">
        <v>6</v>
      </c>
      <c r="AH135" s="36" t="s">
        <v>6</v>
      </c>
      <c r="AI135" s="36" t="s">
        <v>6</v>
      </c>
      <c r="AJ135" s="36">
        <f t="shared" si="1"/>
        <v>24</v>
      </c>
      <c r="AK135" s="36">
        <f t="shared" si="2"/>
        <v>0</v>
      </c>
      <c r="AL135" s="36">
        <f t="shared" si="3"/>
        <v>1</v>
      </c>
      <c r="AM135" s="36">
        <f t="shared" si="4"/>
        <v>1</v>
      </c>
      <c r="AN135" s="36">
        <f t="shared" si="5"/>
        <v>1</v>
      </c>
      <c r="AO135" s="36">
        <f t="shared" si="6"/>
        <v>0</v>
      </c>
      <c r="AP135" s="36">
        <f t="shared" si="7"/>
        <v>0</v>
      </c>
      <c r="AQ135" s="36">
        <f t="shared" si="8"/>
        <v>0</v>
      </c>
      <c r="AR135" s="36">
        <v>1.0</v>
      </c>
      <c r="AS135" s="36">
        <f t="shared" si="9"/>
        <v>0</v>
      </c>
      <c r="AT135" s="36">
        <v>2.0</v>
      </c>
      <c r="AU135" s="36">
        <f t="shared" si="10"/>
        <v>0</v>
      </c>
      <c r="AV135" s="36">
        <v>2.0</v>
      </c>
      <c r="AW135" s="37">
        <f t="shared" si="11"/>
        <v>27</v>
      </c>
      <c r="AX135" s="37">
        <f t="shared" si="12"/>
        <v>27</v>
      </c>
      <c r="AY135" s="36"/>
    </row>
    <row r="136" ht="15.75" customHeight="1">
      <c r="A136" s="38"/>
      <c r="B136" s="24" t="s">
        <v>80</v>
      </c>
      <c r="C136" s="31" t="s">
        <v>81</v>
      </c>
      <c r="D136" s="32" t="s">
        <v>125</v>
      </c>
      <c r="E136" s="33" t="s">
        <v>6</v>
      </c>
      <c r="F136" s="33" t="s">
        <v>6</v>
      </c>
      <c r="G136" s="33" t="s">
        <v>6</v>
      </c>
      <c r="H136" s="33" t="s">
        <v>6</v>
      </c>
      <c r="I136" s="33" t="s">
        <v>6</v>
      </c>
      <c r="J136" s="33" t="s">
        <v>6</v>
      </c>
      <c r="K136" s="33" t="s">
        <v>25</v>
      </c>
      <c r="L136" s="33" t="s">
        <v>9</v>
      </c>
      <c r="M136" s="33" t="s">
        <v>10</v>
      </c>
      <c r="N136" s="33" t="s">
        <v>6</v>
      </c>
      <c r="O136" s="33" t="s">
        <v>6</v>
      </c>
      <c r="P136" s="33" t="s">
        <v>6</v>
      </c>
      <c r="Q136" s="33" t="s">
        <v>6</v>
      </c>
      <c r="R136" s="33" t="s">
        <v>25</v>
      </c>
      <c r="S136" s="33" t="s">
        <v>6</v>
      </c>
      <c r="T136" s="33" t="s">
        <v>6</v>
      </c>
      <c r="U136" s="33" t="s">
        <v>6</v>
      </c>
      <c r="V136" s="33" t="s">
        <v>6</v>
      </c>
      <c r="W136" s="33" t="s">
        <v>6</v>
      </c>
      <c r="X136" s="33" t="s">
        <v>6</v>
      </c>
      <c r="Y136" s="33" t="s">
        <v>25</v>
      </c>
      <c r="Z136" s="33" t="s">
        <v>6</v>
      </c>
      <c r="AA136" s="33" t="s">
        <v>6</v>
      </c>
      <c r="AB136" s="33" t="s">
        <v>6</v>
      </c>
      <c r="AC136" s="33" t="s">
        <v>6</v>
      </c>
      <c r="AD136" s="33" t="s">
        <v>6</v>
      </c>
      <c r="AE136" s="33" t="s">
        <v>6</v>
      </c>
      <c r="AF136" s="33" t="s">
        <v>25</v>
      </c>
      <c r="AG136" s="33" t="s">
        <v>6</v>
      </c>
      <c r="AH136" s="33" t="s">
        <v>6</v>
      </c>
      <c r="AI136" s="33" t="s">
        <v>6</v>
      </c>
      <c r="AJ136" s="33">
        <f t="shared" si="1"/>
        <v>25</v>
      </c>
      <c r="AK136" s="33">
        <f t="shared" si="2"/>
        <v>0</v>
      </c>
      <c r="AL136" s="33">
        <f t="shared" si="3"/>
        <v>0</v>
      </c>
      <c r="AM136" s="33">
        <f t="shared" si="4"/>
        <v>1</v>
      </c>
      <c r="AN136" s="33">
        <f t="shared" si="5"/>
        <v>1</v>
      </c>
      <c r="AO136" s="33">
        <f t="shared" si="6"/>
        <v>0</v>
      </c>
      <c r="AP136" s="33">
        <f t="shared" si="7"/>
        <v>0</v>
      </c>
      <c r="AQ136" s="33">
        <f t="shared" si="8"/>
        <v>0</v>
      </c>
      <c r="AR136" s="33">
        <v>1.0</v>
      </c>
      <c r="AS136" s="33">
        <f t="shared" si="9"/>
        <v>0</v>
      </c>
      <c r="AT136" s="33">
        <v>2.0</v>
      </c>
      <c r="AU136" s="33">
        <f t="shared" si="10"/>
        <v>0</v>
      </c>
      <c r="AV136" s="33">
        <v>2.0</v>
      </c>
      <c r="AW136" s="34">
        <f t="shared" si="11"/>
        <v>27</v>
      </c>
      <c r="AX136" s="34">
        <f t="shared" si="12"/>
        <v>27</v>
      </c>
      <c r="AY136" s="33"/>
    </row>
    <row r="137" ht="15.75" customHeight="1">
      <c r="A137" s="38"/>
      <c r="B137" s="18" t="s">
        <v>82</v>
      </c>
      <c r="C137" s="29" t="s">
        <v>83</v>
      </c>
      <c r="D137" s="35" t="s">
        <v>125</v>
      </c>
      <c r="E137" s="36" t="s">
        <v>6</v>
      </c>
      <c r="F137" s="36" t="s">
        <v>6</v>
      </c>
      <c r="G137" s="36" t="s">
        <v>6</v>
      </c>
      <c r="H137" s="36" t="s">
        <v>6</v>
      </c>
      <c r="I137" s="36" t="s">
        <v>6</v>
      </c>
      <c r="J137" s="36" t="s">
        <v>6</v>
      </c>
      <c r="K137" s="36" t="s">
        <v>25</v>
      </c>
      <c r="L137" s="36" t="s">
        <v>9</v>
      </c>
      <c r="M137" s="36" t="s">
        <v>10</v>
      </c>
      <c r="N137" s="36" t="s">
        <v>6</v>
      </c>
      <c r="O137" s="36" t="s">
        <v>6</v>
      </c>
      <c r="P137" s="36" t="s">
        <v>6</v>
      </c>
      <c r="Q137" s="36" t="s">
        <v>6</v>
      </c>
      <c r="R137" s="36" t="s">
        <v>25</v>
      </c>
      <c r="S137" s="36" t="s">
        <v>6</v>
      </c>
      <c r="T137" s="36" t="s">
        <v>6</v>
      </c>
      <c r="U137" s="36" t="s">
        <v>6</v>
      </c>
      <c r="V137" s="36" t="s">
        <v>6</v>
      </c>
      <c r="W137" s="36" t="s">
        <v>6</v>
      </c>
      <c r="X137" s="36" t="s">
        <v>6</v>
      </c>
      <c r="Y137" s="36" t="s">
        <v>25</v>
      </c>
      <c r="Z137" s="36" t="s">
        <v>6</v>
      </c>
      <c r="AA137" s="36" t="s">
        <v>6</v>
      </c>
      <c r="AB137" s="36" t="s">
        <v>6</v>
      </c>
      <c r="AC137" s="36" t="s">
        <v>6</v>
      </c>
      <c r="AD137" s="36" t="s">
        <v>6</v>
      </c>
      <c r="AE137" s="36" t="s">
        <v>6</v>
      </c>
      <c r="AF137" s="36" t="s">
        <v>25</v>
      </c>
      <c r="AG137" s="36" t="s">
        <v>6</v>
      </c>
      <c r="AH137" s="36" t="s">
        <v>6</v>
      </c>
      <c r="AI137" s="36" t="s">
        <v>6</v>
      </c>
      <c r="AJ137" s="36">
        <f t="shared" si="1"/>
        <v>25</v>
      </c>
      <c r="AK137" s="36">
        <f t="shared" si="2"/>
        <v>0</v>
      </c>
      <c r="AL137" s="36">
        <f t="shared" si="3"/>
        <v>0</v>
      </c>
      <c r="AM137" s="36">
        <f t="shared" si="4"/>
        <v>1</v>
      </c>
      <c r="AN137" s="36">
        <f t="shared" si="5"/>
        <v>1</v>
      </c>
      <c r="AO137" s="36">
        <f t="shared" si="6"/>
        <v>0</v>
      </c>
      <c r="AP137" s="36">
        <f t="shared" si="7"/>
        <v>0</v>
      </c>
      <c r="AQ137" s="36">
        <f t="shared" si="8"/>
        <v>0</v>
      </c>
      <c r="AR137" s="36">
        <v>1.0</v>
      </c>
      <c r="AS137" s="36">
        <f t="shared" si="9"/>
        <v>0</v>
      </c>
      <c r="AT137" s="36">
        <v>2.0</v>
      </c>
      <c r="AU137" s="36">
        <f t="shared" si="10"/>
        <v>0</v>
      </c>
      <c r="AV137" s="36">
        <v>2.0</v>
      </c>
      <c r="AW137" s="37">
        <f t="shared" si="11"/>
        <v>27</v>
      </c>
      <c r="AX137" s="37">
        <f t="shared" si="12"/>
        <v>27</v>
      </c>
      <c r="AY137" s="36"/>
    </row>
    <row r="138" ht="15.75" customHeight="1">
      <c r="A138" s="38"/>
      <c r="B138" s="24" t="s">
        <v>84</v>
      </c>
      <c r="C138" s="31" t="s">
        <v>85</v>
      </c>
      <c r="D138" s="32" t="s">
        <v>125</v>
      </c>
      <c r="E138" s="33" t="s">
        <v>6</v>
      </c>
      <c r="F138" s="33" t="s">
        <v>6</v>
      </c>
      <c r="G138" s="33" t="s">
        <v>6</v>
      </c>
      <c r="H138" s="33" t="s">
        <v>6</v>
      </c>
      <c r="I138" s="33" t="s">
        <v>6</v>
      </c>
      <c r="J138" s="33" t="s">
        <v>6</v>
      </c>
      <c r="K138" s="33" t="s">
        <v>25</v>
      </c>
      <c r="L138" s="33" t="s">
        <v>9</v>
      </c>
      <c r="M138" s="33" t="s">
        <v>10</v>
      </c>
      <c r="N138" s="33" t="s">
        <v>6</v>
      </c>
      <c r="O138" s="33" t="s">
        <v>6</v>
      </c>
      <c r="P138" s="33" t="s">
        <v>6</v>
      </c>
      <c r="Q138" s="33" t="s">
        <v>6</v>
      </c>
      <c r="R138" s="33" t="s">
        <v>25</v>
      </c>
      <c r="S138" s="33" t="s">
        <v>6</v>
      </c>
      <c r="T138" s="33" t="s">
        <v>6</v>
      </c>
      <c r="U138" s="33" t="s">
        <v>6</v>
      </c>
      <c r="V138" s="33" t="s">
        <v>6</v>
      </c>
      <c r="W138" s="33" t="s">
        <v>6</v>
      </c>
      <c r="X138" s="33" t="s">
        <v>6</v>
      </c>
      <c r="Y138" s="33" t="s">
        <v>25</v>
      </c>
      <c r="Z138" s="33" t="s">
        <v>6</v>
      </c>
      <c r="AA138" s="33" t="s">
        <v>6</v>
      </c>
      <c r="AB138" s="33" t="s">
        <v>6</v>
      </c>
      <c r="AC138" s="33" t="s">
        <v>6</v>
      </c>
      <c r="AD138" s="33" t="s">
        <v>6</v>
      </c>
      <c r="AE138" s="33" t="s">
        <v>6</v>
      </c>
      <c r="AF138" s="33" t="s">
        <v>25</v>
      </c>
      <c r="AG138" s="33" t="s">
        <v>6</v>
      </c>
      <c r="AH138" s="33" t="s">
        <v>6</v>
      </c>
      <c r="AI138" s="33" t="s">
        <v>6</v>
      </c>
      <c r="AJ138" s="33">
        <f t="shared" si="1"/>
        <v>25</v>
      </c>
      <c r="AK138" s="33">
        <f t="shared" si="2"/>
        <v>0</v>
      </c>
      <c r="AL138" s="33">
        <f t="shared" si="3"/>
        <v>0</v>
      </c>
      <c r="AM138" s="33">
        <f t="shared" si="4"/>
        <v>1</v>
      </c>
      <c r="AN138" s="33">
        <f t="shared" si="5"/>
        <v>1</v>
      </c>
      <c r="AO138" s="33">
        <f t="shared" si="6"/>
        <v>0</v>
      </c>
      <c r="AP138" s="33">
        <f t="shared" si="7"/>
        <v>0</v>
      </c>
      <c r="AQ138" s="33">
        <f t="shared" si="8"/>
        <v>0</v>
      </c>
      <c r="AR138" s="33">
        <v>1.0</v>
      </c>
      <c r="AS138" s="33">
        <f t="shared" si="9"/>
        <v>0</v>
      </c>
      <c r="AT138" s="33">
        <v>2.0</v>
      </c>
      <c r="AU138" s="33">
        <f t="shared" si="10"/>
        <v>0</v>
      </c>
      <c r="AV138" s="33">
        <v>2.0</v>
      </c>
      <c r="AW138" s="34">
        <f t="shared" si="11"/>
        <v>27</v>
      </c>
      <c r="AX138" s="34">
        <f t="shared" si="12"/>
        <v>27</v>
      </c>
      <c r="AY138" s="33"/>
    </row>
    <row r="139" ht="15.75" customHeight="1">
      <c r="A139" s="38"/>
      <c r="B139" s="18" t="s">
        <v>86</v>
      </c>
      <c r="C139" s="29" t="s">
        <v>87</v>
      </c>
      <c r="D139" s="35" t="s">
        <v>125</v>
      </c>
      <c r="E139" s="36" t="s">
        <v>6</v>
      </c>
      <c r="F139" s="36" t="s">
        <v>6</v>
      </c>
      <c r="G139" s="36" t="s">
        <v>6</v>
      </c>
      <c r="H139" s="36" t="s">
        <v>6</v>
      </c>
      <c r="I139" s="36" t="s">
        <v>6</v>
      </c>
      <c r="J139" s="36" t="s">
        <v>6</v>
      </c>
      <c r="K139" s="36" t="s">
        <v>25</v>
      </c>
      <c r="L139" s="36" t="s">
        <v>9</v>
      </c>
      <c r="M139" s="36" t="s">
        <v>10</v>
      </c>
      <c r="N139" s="36" t="s">
        <v>6</v>
      </c>
      <c r="O139" s="36" t="s">
        <v>6</v>
      </c>
      <c r="P139" s="36" t="s">
        <v>6</v>
      </c>
      <c r="Q139" s="36" t="s">
        <v>6</v>
      </c>
      <c r="R139" s="36" t="s">
        <v>25</v>
      </c>
      <c r="S139" s="36" t="s">
        <v>6</v>
      </c>
      <c r="T139" s="36" t="s">
        <v>6</v>
      </c>
      <c r="U139" s="36" t="s">
        <v>6</v>
      </c>
      <c r="V139" s="36" t="s">
        <v>6</v>
      </c>
      <c r="W139" s="36" t="s">
        <v>6</v>
      </c>
      <c r="X139" s="36" t="s">
        <v>6</v>
      </c>
      <c r="Y139" s="36" t="s">
        <v>25</v>
      </c>
      <c r="Z139" s="36" t="s">
        <v>6</v>
      </c>
      <c r="AA139" s="36" t="s">
        <v>6</v>
      </c>
      <c r="AB139" s="36" t="s">
        <v>6</v>
      </c>
      <c r="AC139" s="36" t="s">
        <v>6</v>
      </c>
      <c r="AD139" s="36" t="s">
        <v>6</v>
      </c>
      <c r="AE139" s="36" t="s">
        <v>6</v>
      </c>
      <c r="AF139" s="36" t="s">
        <v>25</v>
      </c>
      <c r="AG139" s="36" t="s">
        <v>6</v>
      </c>
      <c r="AH139" s="36" t="s">
        <v>6</v>
      </c>
      <c r="AI139" s="36" t="s">
        <v>6</v>
      </c>
      <c r="AJ139" s="36">
        <f t="shared" si="1"/>
        <v>25</v>
      </c>
      <c r="AK139" s="36">
        <f t="shared" si="2"/>
        <v>0</v>
      </c>
      <c r="AL139" s="36">
        <f t="shared" si="3"/>
        <v>0</v>
      </c>
      <c r="AM139" s="36">
        <f t="shared" si="4"/>
        <v>1</v>
      </c>
      <c r="AN139" s="36">
        <f t="shared" si="5"/>
        <v>1</v>
      </c>
      <c r="AO139" s="36">
        <f t="shared" si="6"/>
        <v>0</v>
      </c>
      <c r="AP139" s="36">
        <f t="shared" si="7"/>
        <v>0</v>
      </c>
      <c r="AQ139" s="36">
        <f t="shared" si="8"/>
        <v>0</v>
      </c>
      <c r="AR139" s="36">
        <v>1.0</v>
      </c>
      <c r="AS139" s="36">
        <f t="shared" si="9"/>
        <v>0</v>
      </c>
      <c r="AT139" s="36">
        <v>2.0</v>
      </c>
      <c r="AU139" s="36">
        <f t="shared" si="10"/>
        <v>0</v>
      </c>
      <c r="AV139" s="36">
        <v>2.0</v>
      </c>
      <c r="AW139" s="37">
        <f t="shared" si="11"/>
        <v>27</v>
      </c>
      <c r="AX139" s="37">
        <f t="shared" si="12"/>
        <v>27</v>
      </c>
      <c r="AY139" s="36"/>
    </row>
    <row r="140" ht="15.75" customHeight="1">
      <c r="A140" s="38"/>
      <c r="B140" s="24" t="s">
        <v>88</v>
      </c>
      <c r="C140" s="31" t="s">
        <v>89</v>
      </c>
      <c r="D140" s="32" t="s">
        <v>125</v>
      </c>
      <c r="E140" s="33" t="s">
        <v>6</v>
      </c>
      <c r="F140" s="33" t="s">
        <v>6</v>
      </c>
      <c r="G140" s="33" t="s">
        <v>6</v>
      </c>
      <c r="H140" s="33" t="s">
        <v>6</v>
      </c>
      <c r="I140" s="33" t="s">
        <v>6</v>
      </c>
      <c r="J140" s="33" t="s">
        <v>6</v>
      </c>
      <c r="K140" s="33" t="s">
        <v>25</v>
      </c>
      <c r="L140" s="33" t="s">
        <v>9</v>
      </c>
      <c r="M140" s="33" t="s">
        <v>10</v>
      </c>
      <c r="N140" s="33" t="s">
        <v>6</v>
      </c>
      <c r="O140" s="33" t="s">
        <v>6</v>
      </c>
      <c r="P140" s="33" t="s">
        <v>6</v>
      </c>
      <c r="Q140" s="33" t="s">
        <v>6</v>
      </c>
      <c r="R140" s="33" t="s">
        <v>25</v>
      </c>
      <c r="S140" s="33" t="s">
        <v>6</v>
      </c>
      <c r="T140" s="33" t="s">
        <v>6</v>
      </c>
      <c r="U140" s="33" t="s">
        <v>6</v>
      </c>
      <c r="V140" s="33" t="s">
        <v>6</v>
      </c>
      <c r="W140" s="33" t="s">
        <v>6</v>
      </c>
      <c r="X140" s="33" t="s">
        <v>6</v>
      </c>
      <c r="Y140" s="33" t="s">
        <v>25</v>
      </c>
      <c r="Z140" s="33" t="s">
        <v>6</v>
      </c>
      <c r="AA140" s="33" t="s">
        <v>6</v>
      </c>
      <c r="AB140" s="33" t="s">
        <v>6</v>
      </c>
      <c r="AC140" s="33" t="s">
        <v>6</v>
      </c>
      <c r="AD140" s="33" t="s">
        <v>6</v>
      </c>
      <c r="AE140" s="33" t="s">
        <v>6</v>
      </c>
      <c r="AF140" s="33" t="s">
        <v>25</v>
      </c>
      <c r="AG140" s="33" t="s">
        <v>6</v>
      </c>
      <c r="AH140" s="33" t="s">
        <v>6</v>
      </c>
      <c r="AI140" s="33" t="s">
        <v>6</v>
      </c>
      <c r="AJ140" s="33">
        <f t="shared" si="1"/>
        <v>25</v>
      </c>
      <c r="AK140" s="33">
        <f t="shared" si="2"/>
        <v>0</v>
      </c>
      <c r="AL140" s="33">
        <f t="shared" si="3"/>
        <v>0</v>
      </c>
      <c r="AM140" s="33">
        <f t="shared" si="4"/>
        <v>1</v>
      </c>
      <c r="AN140" s="33">
        <f t="shared" si="5"/>
        <v>1</v>
      </c>
      <c r="AO140" s="33">
        <f t="shared" si="6"/>
        <v>0</v>
      </c>
      <c r="AP140" s="33">
        <f t="shared" si="7"/>
        <v>0</v>
      </c>
      <c r="AQ140" s="33">
        <f t="shared" si="8"/>
        <v>0</v>
      </c>
      <c r="AR140" s="33">
        <v>1.0</v>
      </c>
      <c r="AS140" s="33">
        <f t="shared" si="9"/>
        <v>0</v>
      </c>
      <c r="AT140" s="33">
        <v>2.0</v>
      </c>
      <c r="AU140" s="33">
        <f t="shared" si="10"/>
        <v>0</v>
      </c>
      <c r="AV140" s="33">
        <v>2.0</v>
      </c>
      <c r="AW140" s="34">
        <f t="shared" si="11"/>
        <v>27</v>
      </c>
      <c r="AX140" s="34">
        <f t="shared" si="12"/>
        <v>27</v>
      </c>
      <c r="AY140" s="33"/>
    </row>
    <row r="141" ht="15.75" customHeight="1">
      <c r="A141" s="38"/>
      <c r="B141" s="18" t="s">
        <v>90</v>
      </c>
      <c r="C141" s="29" t="s">
        <v>91</v>
      </c>
      <c r="D141" s="35" t="s">
        <v>125</v>
      </c>
      <c r="E141" s="36" t="s">
        <v>6</v>
      </c>
      <c r="F141" s="36" t="s">
        <v>6</v>
      </c>
      <c r="G141" s="36" t="s">
        <v>6</v>
      </c>
      <c r="H141" s="36" t="s">
        <v>6</v>
      </c>
      <c r="I141" s="36" t="s">
        <v>6</v>
      </c>
      <c r="J141" s="36" t="s">
        <v>6</v>
      </c>
      <c r="K141" s="36" t="s">
        <v>25</v>
      </c>
      <c r="L141" s="36" t="s">
        <v>9</v>
      </c>
      <c r="M141" s="36" t="s">
        <v>10</v>
      </c>
      <c r="N141" s="36" t="s">
        <v>6</v>
      </c>
      <c r="O141" s="36" t="s">
        <v>6</v>
      </c>
      <c r="P141" s="36" t="s">
        <v>6</v>
      </c>
      <c r="Q141" s="36" t="s">
        <v>6</v>
      </c>
      <c r="R141" s="36" t="s">
        <v>25</v>
      </c>
      <c r="S141" s="36" t="s">
        <v>6</v>
      </c>
      <c r="T141" s="36" t="s">
        <v>6</v>
      </c>
      <c r="U141" s="36" t="s">
        <v>6</v>
      </c>
      <c r="V141" s="36" t="s">
        <v>6</v>
      </c>
      <c r="W141" s="36" t="s">
        <v>6</v>
      </c>
      <c r="X141" s="36" t="s">
        <v>6</v>
      </c>
      <c r="Y141" s="36" t="s">
        <v>25</v>
      </c>
      <c r="Z141" s="36" t="s">
        <v>6</v>
      </c>
      <c r="AA141" s="36" t="s">
        <v>6</v>
      </c>
      <c r="AB141" s="36" t="s">
        <v>6</v>
      </c>
      <c r="AC141" s="36" t="s">
        <v>6</v>
      </c>
      <c r="AD141" s="36" t="s">
        <v>6</v>
      </c>
      <c r="AE141" s="36" t="s">
        <v>6</v>
      </c>
      <c r="AF141" s="36" t="s">
        <v>25</v>
      </c>
      <c r="AG141" s="36" t="s">
        <v>6</v>
      </c>
      <c r="AH141" s="36" t="s">
        <v>6</v>
      </c>
      <c r="AI141" s="36" t="s">
        <v>6</v>
      </c>
      <c r="AJ141" s="36">
        <f t="shared" si="1"/>
        <v>25</v>
      </c>
      <c r="AK141" s="36">
        <f t="shared" si="2"/>
        <v>0</v>
      </c>
      <c r="AL141" s="36">
        <f t="shared" si="3"/>
        <v>0</v>
      </c>
      <c r="AM141" s="36">
        <f t="shared" si="4"/>
        <v>1</v>
      </c>
      <c r="AN141" s="36">
        <f t="shared" si="5"/>
        <v>1</v>
      </c>
      <c r="AO141" s="36">
        <f t="shared" si="6"/>
        <v>0</v>
      </c>
      <c r="AP141" s="36">
        <f t="shared" si="7"/>
        <v>0</v>
      </c>
      <c r="AQ141" s="36">
        <f t="shared" si="8"/>
        <v>0</v>
      </c>
      <c r="AR141" s="36">
        <v>1.0</v>
      </c>
      <c r="AS141" s="36">
        <f t="shared" si="9"/>
        <v>0</v>
      </c>
      <c r="AT141" s="36">
        <v>2.0</v>
      </c>
      <c r="AU141" s="36">
        <f t="shared" si="10"/>
        <v>0</v>
      </c>
      <c r="AV141" s="36">
        <v>2.0</v>
      </c>
      <c r="AW141" s="37">
        <f t="shared" si="11"/>
        <v>27</v>
      </c>
      <c r="AX141" s="37">
        <f t="shared" si="12"/>
        <v>27</v>
      </c>
      <c r="AY141" s="36"/>
    </row>
    <row r="142" ht="15.75" customHeight="1">
      <c r="A142" s="38"/>
      <c r="B142" s="24" t="s">
        <v>92</v>
      </c>
      <c r="C142" s="31" t="s">
        <v>93</v>
      </c>
      <c r="D142" s="32" t="s">
        <v>125</v>
      </c>
      <c r="E142" s="33" t="s">
        <v>6</v>
      </c>
      <c r="F142" s="33" t="s">
        <v>6</v>
      </c>
      <c r="G142" s="33" t="s">
        <v>6</v>
      </c>
      <c r="H142" s="33" t="s">
        <v>6</v>
      </c>
      <c r="I142" s="33" t="s">
        <v>6</v>
      </c>
      <c r="J142" s="33" t="s">
        <v>6</v>
      </c>
      <c r="K142" s="33" t="s">
        <v>25</v>
      </c>
      <c r="L142" s="33" t="s">
        <v>9</v>
      </c>
      <c r="M142" s="33" t="s">
        <v>10</v>
      </c>
      <c r="N142" s="33" t="s">
        <v>6</v>
      </c>
      <c r="O142" s="33" t="s">
        <v>6</v>
      </c>
      <c r="P142" s="33" t="s">
        <v>6</v>
      </c>
      <c r="Q142" s="33" t="s">
        <v>6</v>
      </c>
      <c r="R142" s="33" t="s">
        <v>25</v>
      </c>
      <c r="S142" s="33" t="s">
        <v>6</v>
      </c>
      <c r="T142" s="33" t="s">
        <v>6</v>
      </c>
      <c r="U142" s="33" t="s">
        <v>6</v>
      </c>
      <c r="V142" s="33" t="s">
        <v>6</v>
      </c>
      <c r="W142" s="33" t="s">
        <v>6</v>
      </c>
      <c r="X142" s="33" t="s">
        <v>6</v>
      </c>
      <c r="Y142" s="33" t="s">
        <v>25</v>
      </c>
      <c r="Z142" s="33" t="s">
        <v>6</v>
      </c>
      <c r="AA142" s="33" t="s">
        <v>6</v>
      </c>
      <c r="AB142" s="33" t="s">
        <v>6</v>
      </c>
      <c r="AC142" s="33" t="s">
        <v>6</v>
      </c>
      <c r="AD142" s="33" t="s">
        <v>6</v>
      </c>
      <c r="AE142" s="33" t="s">
        <v>6</v>
      </c>
      <c r="AF142" s="33" t="s">
        <v>25</v>
      </c>
      <c r="AG142" s="33" t="s">
        <v>6</v>
      </c>
      <c r="AH142" s="33" t="s">
        <v>6</v>
      </c>
      <c r="AI142" s="33" t="s">
        <v>6</v>
      </c>
      <c r="AJ142" s="33">
        <f t="shared" si="1"/>
        <v>25</v>
      </c>
      <c r="AK142" s="33">
        <f t="shared" si="2"/>
        <v>0</v>
      </c>
      <c r="AL142" s="33">
        <f t="shared" si="3"/>
        <v>0</v>
      </c>
      <c r="AM142" s="33">
        <f t="shared" si="4"/>
        <v>1</v>
      </c>
      <c r="AN142" s="33">
        <f t="shared" si="5"/>
        <v>1</v>
      </c>
      <c r="AO142" s="33">
        <f t="shared" si="6"/>
        <v>0</v>
      </c>
      <c r="AP142" s="33">
        <f t="shared" si="7"/>
        <v>0</v>
      </c>
      <c r="AQ142" s="33">
        <f t="shared" si="8"/>
        <v>0</v>
      </c>
      <c r="AR142" s="33">
        <v>1.0</v>
      </c>
      <c r="AS142" s="33">
        <f t="shared" si="9"/>
        <v>0</v>
      </c>
      <c r="AT142" s="33">
        <v>2.0</v>
      </c>
      <c r="AU142" s="33">
        <f t="shared" si="10"/>
        <v>0</v>
      </c>
      <c r="AV142" s="33">
        <v>2.0</v>
      </c>
      <c r="AW142" s="34">
        <f t="shared" si="11"/>
        <v>27</v>
      </c>
      <c r="AX142" s="34">
        <f t="shared" si="12"/>
        <v>27</v>
      </c>
      <c r="AY142" s="33"/>
    </row>
    <row r="143" ht="15.75" customHeight="1">
      <c r="A143" s="38"/>
      <c r="B143" s="18" t="s">
        <v>94</v>
      </c>
      <c r="C143" s="29" t="s">
        <v>95</v>
      </c>
      <c r="D143" s="35" t="s">
        <v>125</v>
      </c>
      <c r="E143" s="36" t="s">
        <v>6</v>
      </c>
      <c r="F143" s="36" t="s">
        <v>6</v>
      </c>
      <c r="G143" s="36" t="s">
        <v>6</v>
      </c>
      <c r="H143" s="36" t="s">
        <v>6</v>
      </c>
      <c r="I143" s="36" t="s">
        <v>6</v>
      </c>
      <c r="J143" s="36" t="s">
        <v>6</v>
      </c>
      <c r="K143" s="36" t="s">
        <v>25</v>
      </c>
      <c r="L143" s="36" t="s">
        <v>9</v>
      </c>
      <c r="M143" s="36" t="s">
        <v>10</v>
      </c>
      <c r="N143" s="36" t="s">
        <v>6</v>
      </c>
      <c r="O143" s="36" t="s">
        <v>6</v>
      </c>
      <c r="P143" s="36" t="s">
        <v>6</v>
      </c>
      <c r="Q143" s="36" t="s">
        <v>6</v>
      </c>
      <c r="R143" s="36" t="s">
        <v>25</v>
      </c>
      <c r="S143" s="36" t="s">
        <v>6</v>
      </c>
      <c r="T143" s="36" t="s">
        <v>6</v>
      </c>
      <c r="U143" s="36" t="s">
        <v>6</v>
      </c>
      <c r="V143" s="36" t="s">
        <v>6</v>
      </c>
      <c r="W143" s="36" t="s">
        <v>6</v>
      </c>
      <c r="X143" s="36" t="s">
        <v>6</v>
      </c>
      <c r="Y143" s="36" t="s">
        <v>25</v>
      </c>
      <c r="Z143" s="36" t="s">
        <v>6</v>
      </c>
      <c r="AA143" s="36" t="s">
        <v>6</v>
      </c>
      <c r="AB143" s="36" t="s">
        <v>6</v>
      </c>
      <c r="AC143" s="36" t="s">
        <v>6</v>
      </c>
      <c r="AD143" s="36" t="s">
        <v>6</v>
      </c>
      <c r="AE143" s="36" t="s">
        <v>6</v>
      </c>
      <c r="AF143" s="36" t="s">
        <v>25</v>
      </c>
      <c r="AG143" s="36" t="s">
        <v>6</v>
      </c>
      <c r="AH143" s="36" t="s">
        <v>6</v>
      </c>
      <c r="AI143" s="36" t="s">
        <v>6</v>
      </c>
      <c r="AJ143" s="36">
        <f t="shared" si="1"/>
        <v>25</v>
      </c>
      <c r="AK143" s="36">
        <f t="shared" si="2"/>
        <v>0</v>
      </c>
      <c r="AL143" s="36">
        <f t="shared" si="3"/>
        <v>0</v>
      </c>
      <c r="AM143" s="36">
        <f t="shared" si="4"/>
        <v>1</v>
      </c>
      <c r="AN143" s="36">
        <f t="shared" si="5"/>
        <v>1</v>
      </c>
      <c r="AO143" s="36">
        <f t="shared" si="6"/>
        <v>0</v>
      </c>
      <c r="AP143" s="36">
        <f t="shared" si="7"/>
        <v>0</v>
      </c>
      <c r="AQ143" s="36">
        <f t="shared" si="8"/>
        <v>0</v>
      </c>
      <c r="AR143" s="36">
        <v>1.0</v>
      </c>
      <c r="AS143" s="36">
        <f t="shared" si="9"/>
        <v>0</v>
      </c>
      <c r="AT143" s="36">
        <v>2.0</v>
      </c>
      <c r="AU143" s="36">
        <f t="shared" si="10"/>
        <v>0</v>
      </c>
      <c r="AV143" s="36">
        <v>2.0</v>
      </c>
      <c r="AW143" s="37">
        <f t="shared" si="11"/>
        <v>27</v>
      </c>
      <c r="AX143" s="37">
        <f t="shared" si="12"/>
        <v>27</v>
      </c>
      <c r="AY143" s="36"/>
    </row>
    <row r="144" ht="15.75" customHeight="1">
      <c r="A144" s="38"/>
      <c r="B144" s="24" t="s">
        <v>96</v>
      </c>
      <c r="C144" s="31" t="s">
        <v>97</v>
      </c>
      <c r="D144" s="32" t="s">
        <v>125</v>
      </c>
      <c r="E144" s="33" t="s">
        <v>6</v>
      </c>
      <c r="F144" s="33" t="s">
        <v>6</v>
      </c>
      <c r="G144" s="33" t="s">
        <v>6</v>
      </c>
      <c r="H144" s="33" t="s">
        <v>6</v>
      </c>
      <c r="I144" s="33" t="s">
        <v>6</v>
      </c>
      <c r="J144" s="33" t="s">
        <v>6</v>
      </c>
      <c r="K144" s="33" t="s">
        <v>25</v>
      </c>
      <c r="L144" s="33" t="s">
        <v>9</v>
      </c>
      <c r="M144" s="33" t="s">
        <v>10</v>
      </c>
      <c r="N144" s="33" t="s">
        <v>6</v>
      </c>
      <c r="O144" s="33" t="s">
        <v>6</v>
      </c>
      <c r="P144" s="33" t="s">
        <v>6</v>
      </c>
      <c r="Q144" s="33" t="s">
        <v>6</v>
      </c>
      <c r="R144" s="33" t="s">
        <v>25</v>
      </c>
      <c r="S144" s="33" t="s">
        <v>6</v>
      </c>
      <c r="T144" s="33" t="s">
        <v>6</v>
      </c>
      <c r="U144" s="33" t="s">
        <v>6</v>
      </c>
      <c r="V144" s="33" t="s">
        <v>6</v>
      </c>
      <c r="W144" s="33" t="s">
        <v>6</v>
      </c>
      <c r="X144" s="33" t="s">
        <v>6</v>
      </c>
      <c r="Y144" s="33" t="s">
        <v>25</v>
      </c>
      <c r="Z144" s="33" t="s">
        <v>6</v>
      </c>
      <c r="AA144" s="33" t="s">
        <v>6</v>
      </c>
      <c r="AB144" s="33" t="s">
        <v>6</v>
      </c>
      <c r="AC144" s="33" t="s">
        <v>6</v>
      </c>
      <c r="AD144" s="33" t="s">
        <v>6</v>
      </c>
      <c r="AE144" s="33" t="s">
        <v>6</v>
      </c>
      <c r="AF144" s="33" t="s">
        <v>25</v>
      </c>
      <c r="AG144" s="33" t="s">
        <v>6</v>
      </c>
      <c r="AH144" s="33" t="s">
        <v>6</v>
      </c>
      <c r="AI144" s="33" t="s">
        <v>6</v>
      </c>
      <c r="AJ144" s="33">
        <f t="shared" si="1"/>
        <v>25</v>
      </c>
      <c r="AK144" s="33">
        <f t="shared" si="2"/>
        <v>0</v>
      </c>
      <c r="AL144" s="33">
        <f t="shared" si="3"/>
        <v>0</v>
      </c>
      <c r="AM144" s="33">
        <f t="shared" si="4"/>
        <v>1</v>
      </c>
      <c r="AN144" s="33">
        <f t="shared" si="5"/>
        <v>1</v>
      </c>
      <c r="AO144" s="33">
        <f t="shared" si="6"/>
        <v>0</v>
      </c>
      <c r="AP144" s="33">
        <f t="shared" si="7"/>
        <v>0</v>
      </c>
      <c r="AQ144" s="33">
        <f t="shared" si="8"/>
        <v>0</v>
      </c>
      <c r="AR144" s="33">
        <v>1.0</v>
      </c>
      <c r="AS144" s="33">
        <f t="shared" si="9"/>
        <v>0</v>
      </c>
      <c r="AT144" s="33">
        <v>2.0</v>
      </c>
      <c r="AU144" s="33">
        <f t="shared" si="10"/>
        <v>0</v>
      </c>
      <c r="AV144" s="33">
        <v>2.0</v>
      </c>
      <c r="AW144" s="34">
        <f t="shared" si="11"/>
        <v>27</v>
      </c>
      <c r="AX144" s="34">
        <f t="shared" si="12"/>
        <v>27</v>
      </c>
      <c r="AY144" s="33"/>
    </row>
    <row r="145" ht="15.75" customHeight="1">
      <c r="A145" s="38"/>
      <c r="B145" s="18" t="s">
        <v>98</v>
      </c>
      <c r="C145" s="29" t="s">
        <v>99</v>
      </c>
      <c r="D145" s="35" t="s">
        <v>125</v>
      </c>
      <c r="E145" s="36" t="s">
        <v>6</v>
      </c>
      <c r="F145" s="36" t="s">
        <v>6</v>
      </c>
      <c r="G145" s="36" t="s">
        <v>6</v>
      </c>
      <c r="H145" s="36" t="s">
        <v>6</v>
      </c>
      <c r="I145" s="36" t="s">
        <v>6</v>
      </c>
      <c r="J145" s="36" t="s">
        <v>6</v>
      </c>
      <c r="K145" s="36" t="s">
        <v>25</v>
      </c>
      <c r="L145" s="36" t="s">
        <v>9</v>
      </c>
      <c r="M145" s="36" t="s">
        <v>10</v>
      </c>
      <c r="N145" s="36" t="s">
        <v>6</v>
      </c>
      <c r="O145" s="36" t="s">
        <v>6</v>
      </c>
      <c r="P145" s="36" t="s">
        <v>6</v>
      </c>
      <c r="Q145" s="36" t="s">
        <v>6</v>
      </c>
      <c r="R145" s="36" t="s">
        <v>25</v>
      </c>
      <c r="S145" s="36" t="s">
        <v>6</v>
      </c>
      <c r="T145" s="36" t="s">
        <v>6</v>
      </c>
      <c r="U145" s="36" t="s">
        <v>6</v>
      </c>
      <c r="V145" s="36" t="s">
        <v>6</v>
      </c>
      <c r="W145" s="36" t="s">
        <v>6</v>
      </c>
      <c r="X145" s="36" t="s">
        <v>6</v>
      </c>
      <c r="Y145" s="36" t="s">
        <v>25</v>
      </c>
      <c r="Z145" s="36" t="s">
        <v>6</v>
      </c>
      <c r="AA145" s="36" t="s">
        <v>6</v>
      </c>
      <c r="AB145" s="36" t="s">
        <v>6</v>
      </c>
      <c r="AC145" s="36" t="s">
        <v>6</v>
      </c>
      <c r="AD145" s="36" t="s">
        <v>6</v>
      </c>
      <c r="AE145" s="36" t="s">
        <v>6</v>
      </c>
      <c r="AF145" s="36" t="s">
        <v>25</v>
      </c>
      <c r="AG145" s="36" t="s">
        <v>6</v>
      </c>
      <c r="AH145" s="36" t="s">
        <v>6</v>
      </c>
      <c r="AI145" s="36" t="s">
        <v>6</v>
      </c>
      <c r="AJ145" s="36">
        <f t="shared" si="1"/>
        <v>25</v>
      </c>
      <c r="AK145" s="36">
        <f t="shared" si="2"/>
        <v>0</v>
      </c>
      <c r="AL145" s="36">
        <f t="shared" si="3"/>
        <v>0</v>
      </c>
      <c r="AM145" s="36">
        <f t="shared" si="4"/>
        <v>1</v>
      </c>
      <c r="AN145" s="36">
        <f t="shared" si="5"/>
        <v>1</v>
      </c>
      <c r="AO145" s="36">
        <f t="shared" si="6"/>
        <v>0</v>
      </c>
      <c r="AP145" s="36">
        <f t="shared" si="7"/>
        <v>0</v>
      </c>
      <c r="AQ145" s="36">
        <f t="shared" si="8"/>
        <v>0</v>
      </c>
      <c r="AR145" s="36">
        <v>1.0</v>
      </c>
      <c r="AS145" s="36">
        <f t="shared" si="9"/>
        <v>0</v>
      </c>
      <c r="AT145" s="36">
        <v>2.0</v>
      </c>
      <c r="AU145" s="36">
        <f t="shared" si="10"/>
        <v>0</v>
      </c>
      <c r="AV145" s="36">
        <v>2.0</v>
      </c>
      <c r="AW145" s="37">
        <f t="shared" si="11"/>
        <v>27</v>
      </c>
      <c r="AX145" s="37">
        <f t="shared" si="12"/>
        <v>27</v>
      </c>
      <c r="AY145" s="36"/>
    </row>
    <row r="146" ht="15.75" customHeight="1">
      <c r="A146" s="38"/>
      <c r="B146" s="24" t="s">
        <v>100</v>
      </c>
      <c r="C146" s="31" t="s">
        <v>101</v>
      </c>
      <c r="D146" s="32" t="s">
        <v>125</v>
      </c>
      <c r="E146" s="33" t="s">
        <v>6</v>
      </c>
      <c r="F146" s="33" t="s">
        <v>6</v>
      </c>
      <c r="G146" s="33" t="s">
        <v>6</v>
      </c>
      <c r="H146" s="33" t="s">
        <v>6</v>
      </c>
      <c r="I146" s="33" t="s">
        <v>6</v>
      </c>
      <c r="J146" s="33" t="s">
        <v>6</v>
      </c>
      <c r="K146" s="33" t="s">
        <v>25</v>
      </c>
      <c r="L146" s="33" t="s">
        <v>9</v>
      </c>
      <c r="M146" s="33" t="s">
        <v>10</v>
      </c>
      <c r="N146" s="33" t="s">
        <v>6</v>
      </c>
      <c r="O146" s="33" t="s">
        <v>6</v>
      </c>
      <c r="P146" s="33" t="s">
        <v>6</v>
      </c>
      <c r="Q146" s="33" t="s">
        <v>6</v>
      </c>
      <c r="R146" s="33" t="s">
        <v>25</v>
      </c>
      <c r="S146" s="33" t="s">
        <v>6</v>
      </c>
      <c r="T146" s="33" t="s">
        <v>6</v>
      </c>
      <c r="U146" s="33" t="s">
        <v>6</v>
      </c>
      <c r="V146" s="33" t="s">
        <v>6</v>
      </c>
      <c r="W146" s="33" t="s">
        <v>6</v>
      </c>
      <c r="X146" s="33" t="s">
        <v>6</v>
      </c>
      <c r="Y146" s="33" t="s">
        <v>25</v>
      </c>
      <c r="Z146" s="33" t="s">
        <v>6</v>
      </c>
      <c r="AA146" s="33" t="s">
        <v>6</v>
      </c>
      <c r="AB146" s="33" t="s">
        <v>6</v>
      </c>
      <c r="AC146" s="33" t="s">
        <v>6</v>
      </c>
      <c r="AD146" s="33" t="s">
        <v>6</v>
      </c>
      <c r="AE146" s="33" t="s">
        <v>6</v>
      </c>
      <c r="AF146" s="33" t="s">
        <v>25</v>
      </c>
      <c r="AG146" s="33" t="s">
        <v>6</v>
      </c>
      <c r="AH146" s="33" t="s">
        <v>6</v>
      </c>
      <c r="AI146" s="33" t="s">
        <v>6</v>
      </c>
      <c r="AJ146" s="33">
        <f t="shared" si="1"/>
        <v>25</v>
      </c>
      <c r="AK146" s="33">
        <f t="shared" si="2"/>
        <v>0</v>
      </c>
      <c r="AL146" s="33">
        <f t="shared" si="3"/>
        <v>0</v>
      </c>
      <c r="AM146" s="33">
        <f t="shared" si="4"/>
        <v>1</v>
      </c>
      <c r="AN146" s="33">
        <f t="shared" si="5"/>
        <v>1</v>
      </c>
      <c r="AO146" s="33">
        <f t="shared" si="6"/>
        <v>0</v>
      </c>
      <c r="AP146" s="33">
        <f t="shared" si="7"/>
        <v>0</v>
      </c>
      <c r="AQ146" s="33">
        <f t="shared" si="8"/>
        <v>0</v>
      </c>
      <c r="AR146" s="33">
        <v>1.0</v>
      </c>
      <c r="AS146" s="33">
        <f t="shared" si="9"/>
        <v>0</v>
      </c>
      <c r="AT146" s="33">
        <v>2.0</v>
      </c>
      <c r="AU146" s="33">
        <f t="shared" si="10"/>
        <v>0</v>
      </c>
      <c r="AV146" s="33">
        <v>2.0</v>
      </c>
      <c r="AW146" s="34">
        <f t="shared" si="11"/>
        <v>27</v>
      </c>
      <c r="AX146" s="34">
        <f t="shared" si="12"/>
        <v>27</v>
      </c>
      <c r="AY146" s="33"/>
    </row>
    <row r="147" ht="15.75" customHeight="1">
      <c r="A147" s="38"/>
      <c r="B147" s="18" t="s">
        <v>102</v>
      </c>
      <c r="C147" s="29" t="s">
        <v>103</v>
      </c>
      <c r="D147" s="35" t="s">
        <v>125</v>
      </c>
      <c r="E147" s="36" t="s">
        <v>6</v>
      </c>
      <c r="F147" s="36" t="s">
        <v>6</v>
      </c>
      <c r="G147" s="36" t="s">
        <v>6</v>
      </c>
      <c r="H147" s="36" t="s">
        <v>6</v>
      </c>
      <c r="I147" s="36" t="s">
        <v>6</v>
      </c>
      <c r="J147" s="36" t="s">
        <v>6</v>
      </c>
      <c r="K147" s="36" t="s">
        <v>25</v>
      </c>
      <c r="L147" s="36" t="s">
        <v>9</v>
      </c>
      <c r="M147" s="36" t="s">
        <v>10</v>
      </c>
      <c r="N147" s="36" t="s">
        <v>6</v>
      </c>
      <c r="O147" s="36" t="s">
        <v>6</v>
      </c>
      <c r="P147" s="36" t="s">
        <v>6</v>
      </c>
      <c r="Q147" s="36" t="s">
        <v>6</v>
      </c>
      <c r="R147" s="36" t="s">
        <v>25</v>
      </c>
      <c r="S147" s="36" t="s">
        <v>6</v>
      </c>
      <c r="T147" s="36" t="s">
        <v>6</v>
      </c>
      <c r="U147" s="36" t="s">
        <v>6</v>
      </c>
      <c r="V147" s="36" t="s">
        <v>6</v>
      </c>
      <c r="W147" s="36" t="s">
        <v>6</v>
      </c>
      <c r="X147" s="36" t="s">
        <v>6</v>
      </c>
      <c r="Y147" s="36" t="s">
        <v>25</v>
      </c>
      <c r="Z147" s="36" t="s">
        <v>6</v>
      </c>
      <c r="AA147" s="36" t="s">
        <v>6</v>
      </c>
      <c r="AB147" s="36" t="s">
        <v>6</v>
      </c>
      <c r="AC147" s="36" t="s">
        <v>6</v>
      </c>
      <c r="AD147" s="36" t="s">
        <v>6</v>
      </c>
      <c r="AE147" s="36" t="s">
        <v>6</v>
      </c>
      <c r="AF147" s="36" t="s">
        <v>25</v>
      </c>
      <c r="AG147" s="36" t="s">
        <v>6</v>
      </c>
      <c r="AH147" s="36" t="s">
        <v>6</v>
      </c>
      <c r="AI147" s="36" t="s">
        <v>6</v>
      </c>
      <c r="AJ147" s="36">
        <f t="shared" si="1"/>
        <v>25</v>
      </c>
      <c r="AK147" s="36">
        <f t="shared" si="2"/>
        <v>0</v>
      </c>
      <c r="AL147" s="36">
        <f t="shared" si="3"/>
        <v>0</v>
      </c>
      <c r="AM147" s="36">
        <f t="shared" si="4"/>
        <v>1</v>
      </c>
      <c r="AN147" s="36">
        <f t="shared" si="5"/>
        <v>1</v>
      </c>
      <c r="AO147" s="36">
        <f t="shared" si="6"/>
        <v>0</v>
      </c>
      <c r="AP147" s="36">
        <f t="shared" si="7"/>
        <v>0</v>
      </c>
      <c r="AQ147" s="36">
        <f t="shared" si="8"/>
        <v>0</v>
      </c>
      <c r="AR147" s="36">
        <v>1.0</v>
      </c>
      <c r="AS147" s="36">
        <f t="shared" si="9"/>
        <v>0</v>
      </c>
      <c r="AT147" s="36">
        <v>2.0</v>
      </c>
      <c r="AU147" s="36">
        <f t="shared" si="10"/>
        <v>0</v>
      </c>
      <c r="AV147" s="36">
        <v>2.0</v>
      </c>
      <c r="AW147" s="37">
        <f t="shared" si="11"/>
        <v>27</v>
      </c>
      <c r="AX147" s="37">
        <f t="shared" si="12"/>
        <v>27</v>
      </c>
      <c r="AY147" s="36"/>
    </row>
    <row r="148" ht="15.75" customHeight="1">
      <c r="A148" s="38"/>
      <c r="B148" s="24" t="s">
        <v>104</v>
      </c>
      <c r="C148" s="31" t="s">
        <v>105</v>
      </c>
      <c r="D148" s="32" t="s">
        <v>125</v>
      </c>
      <c r="E148" s="33" t="s">
        <v>6</v>
      </c>
      <c r="F148" s="33" t="s">
        <v>6</v>
      </c>
      <c r="G148" s="33" t="s">
        <v>6</v>
      </c>
      <c r="H148" s="33" t="s">
        <v>6</v>
      </c>
      <c r="I148" s="33" t="s">
        <v>6</v>
      </c>
      <c r="J148" s="33" t="s">
        <v>6</v>
      </c>
      <c r="K148" s="33" t="s">
        <v>25</v>
      </c>
      <c r="L148" s="33" t="s">
        <v>9</v>
      </c>
      <c r="M148" s="33" t="s">
        <v>10</v>
      </c>
      <c r="N148" s="33" t="s">
        <v>6</v>
      </c>
      <c r="O148" s="33" t="s">
        <v>6</v>
      </c>
      <c r="P148" s="33" t="s">
        <v>6</v>
      </c>
      <c r="Q148" s="33" t="s">
        <v>6</v>
      </c>
      <c r="R148" s="33" t="s">
        <v>25</v>
      </c>
      <c r="S148" s="33" t="s">
        <v>6</v>
      </c>
      <c r="T148" s="33" t="s">
        <v>6</v>
      </c>
      <c r="U148" s="33" t="s">
        <v>6</v>
      </c>
      <c r="V148" s="33" t="s">
        <v>6</v>
      </c>
      <c r="W148" s="33" t="s">
        <v>6</v>
      </c>
      <c r="X148" s="33" t="s">
        <v>6</v>
      </c>
      <c r="Y148" s="33" t="s">
        <v>25</v>
      </c>
      <c r="Z148" s="33" t="s">
        <v>6</v>
      </c>
      <c r="AA148" s="33" t="s">
        <v>6</v>
      </c>
      <c r="AB148" s="33" t="s">
        <v>6</v>
      </c>
      <c r="AC148" s="33" t="s">
        <v>6</v>
      </c>
      <c r="AD148" s="33" t="s">
        <v>6</v>
      </c>
      <c r="AE148" s="33" t="s">
        <v>6</v>
      </c>
      <c r="AF148" s="33" t="s">
        <v>25</v>
      </c>
      <c r="AG148" s="33" t="s">
        <v>6</v>
      </c>
      <c r="AH148" s="33" t="s">
        <v>6</v>
      </c>
      <c r="AI148" s="33" t="s">
        <v>6</v>
      </c>
      <c r="AJ148" s="33">
        <f t="shared" si="1"/>
        <v>25</v>
      </c>
      <c r="AK148" s="33">
        <f t="shared" si="2"/>
        <v>0</v>
      </c>
      <c r="AL148" s="33">
        <f t="shared" si="3"/>
        <v>0</v>
      </c>
      <c r="AM148" s="33">
        <f t="shared" si="4"/>
        <v>1</v>
      </c>
      <c r="AN148" s="33">
        <f t="shared" si="5"/>
        <v>1</v>
      </c>
      <c r="AO148" s="33">
        <f t="shared" si="6"/>
        <v>0</v>
      </c>
      <c r="AP148" s="33">
        <f t="shared" si="7"/>
        <v>0</v>
      </c>
      <c r="AQ148" s="33">
        <f t="shared" si="8"/>
        <v>0</v>
      </c>
      <c r="AR148" s="33">
        <v>1.0</v>
      </c>
      <c r="AS148" s="33">
        <f t="shared" si="9"/>
        <v>0</v>
      </c>
      <c r="AT148" s="33">
        <v>2.0</v>
      </c>
      <c r="AU148" s="33">
        <f t="shared" si="10"/>
        <v>0</v>
      </c>
      <c r="AV148" s="33">
        <v>2.0</v>
      </c>
      <c r="AW148" s="34">
        <f t="shared" si="11"/>
        <v>27</v>
      </c>
      <c r="AX148" s="34">
        <f t="shared" si="12"/>
        <v>27</v>
      </c>
      <c r="AY148" s="33"/>
    </row>
    <row r="149" ht="15.75" customHeight="1">
      <c r="A149" s="38"/>
      <c r="B149" s="18" t="s">
        <v>106</v>
      </c>
      <c r="C149" s="29" t="s">
        <v>107</v>
      </c>
      <c r="D149" s="35" t="s">
        <v>125</v>
      </c>
      <c r="E149" s="36" t="s">
        <v>6</v>
      </c>
      <c r="F149" s="36" t="s">
        <v>6</v>
      </c>
      <c r="G149" s="36" t="s">
        <v>6</v>
      </c>
      <c r="H149" s="36" t="s">
        <v>6</v>
      </c>
      <c r="I149" s="36" t="s">
        <v>6</v>
      </c>
      <c r="J149" s="36" t="s">
        <v>6</v>
      </c>
      <c r="K149" s="36" t="s">
        <v>25</v>
      </c>
      <c r="L149" s="36" t="s">
        <v>9</v>
      </c>
      <c r="M149" s="36" t="s">
        <v>10</v>
      </c>
      <c r="N149" s="36" t="s">
        <v>6</v>
      </c>
      <c r="O149" s="36" t="s">
        <v>6</v>
      </c>
      <c r="P149" s="36" t="s">
        <v>6</v>
      </c>
      <c r="Q149" s="36" t="s">
        <v>6</v>
      </c>
      <c r="R149" s="36" t="s">
        <v>25</v>
      </c>
      <c r="S149" s="36" t="s">
        <v>6</v>
      </c>
      <c r="T149" s="36" t="s">
        <v>6</v>
      </c>
      <c r="U149" s="36" t="s">
        <v>6</v>
      </c>
      <c r="V149" s="36" t="s">
        <v>6</v>
      </c>
      <c r="W149" s="36" t="s">
        <v>6</v>
      </c>
      <c r="X149" s="36" t="s">
        <v>6</v>
      </c>
      <c r="Y149" s="36" t="s">
        <v>25</v>
      </c>
      <c r="Z149" s="36" t="s">
        <v>6</v>
      </c>
      <c r="AA149" s="36" t="s">
        <v>6</v>
      </c>
      <c r="AB149" s="36" t="s">
        <v>6</v>
      </c>
      <c r="AC149" s="36" t="s">
        <v>6</v>
      </c>
      <c r="AD149" s="36" t="s">
        <v>6</v>
      </c>
      <c r="AE149" s="36" t="s">
        <v>6</v>
      </c>
      <c r="AF149" s="36" t="s">
        <v>25</v>
      </c>
      <c r="AG149" s="36" t="s">
        <v>6</v>
      </c>
      <c r="AH149" s="36" t="s">
        <v>6</v>
      </c>
      <c r="AI149" s="36" t="s">
        <v>6</v>
      </c>
      <c r="AJ149" s="36">
        <f t="shared" si="1"/>
        <v>25</v>
      </c>
      <c r="AK149" s="36">
        <f t="shared" si="2"/>
        <v>0</v>
      </c>
      <c r="AL149" s="36">
        <f t="shared" si="3"/>
        <v>0</v>
      </c>
      <c r="AM149" s="36">
        <f t="shared" si="4"/>
        <v>1</v>
      </c>
      <c r="AN149" s="36">
        <f t="shared" si="5"/>
        <v>1</v>
      </c>
      <c r="AO149" s="36">
        <f t="shared" si="6"/>
        <v>0</v>
      </c>
      <c r="AP149" s="36">
        <f t="shared" si="7"/>
        <v>0</v>
      </c>
      <c r="AQ149" s="36">
        <f t="shared" si="8"/>
        <v>0</v>
      </c>
      <c r="AR149" s="36">
        <v>1.0</v>
      </c>
      <c r="AS149" s="36">
        <f t="shared" si="9"/>
        <v>0</v>
      </c>
      <c r="AT149" s="36">
        <v>2.0</v>
      </c>
      <c r="AU149" s="36">
        <f t="shared" si="10"/>
        <v>0</v>
      </c>
      <c r="AV149" s="36">
        <v>2.0</v>
      </c>
      <c r="AW149" s="37">
        <f t="shared" si="11"/>
        <v>27</v>
      </c>
      <c r="AX149" s="37">
        <f t="shared" si="12"/>
        <v>27</v>
      </c>
      <c r="AY149" s="36"/>
    </row>
    <row r="150" ht="15.75" customHeight="1">
      <c r="A150" s="38"/>
      <c r="B150" s="24" t="s">
        <v>108</v>
      </c>
      <c r="C150" s="31" t="s">
        <v>109</v>
      </c>
      <c r="D150" s="32" t="s">
        <v>125</v>
      </c>
      <c r="E150" s="33" t="s">
        <v>6</v>
      </c>
      <c r="F150" s="33" t="s">
        <v>6</v>
      </c>
      <c r="G150" s="33" t="s">
        <v>6</v>
      </c>
      <c r="H150" s="33" t="s">
        <v>6</v>
      </c>
      <c r="I150" s="33" t="s">
        <v>6</v>
      </c>
      <c r="J150" s="33" t="s">
        <v>6</v>
      </c>
      <c r="K150" s="33" t="s">
        <v>25</v>
      </c>
      <c r="L150" s="33" t="s">
        <v>9</v>
      </c>
      <c r="M150" s="33" t="s">
        <v>10</v>
      </c>
      <c r="N150" s="33" t="s">
        <v>6</v>
      </c>
      <c r="O150" s="33" t="s">
        <v>6</v>
      </c>
      <c r="P150" s="33" t="s">
        <v>6</v>
      </c>
      <c r="Q150" s="33" t="s">
        <v>6</v>
      </c>
      <c r="R150" s="33" t="s">
        <v>25</v>
      </c>
      <c r="S150" s="33" t="s">
        <v>6</v>
      </c>
      <c r="T150" s="33" t="s">
        <v>6</v>
      </c>
      <c r="U150" s="33" t="s">
        <v>6</v>
      </c>
      <c r="V150" s="33" t="s">
        <v>6</v>
      </c>
      <c r="W150" s="33" t="s">
        <v>6</v>
      </c>
      <c r="X150" s="33" t="s">
        <v>6</v>
      </c>
      <c r="Y150" s="33" t="s">
        <v>25</v>
      </c>
      <c r="Z150" s="33" t="s">
        <v>6</v>
      </c>
      <c r="AA150" s="33" t="s">
        <v>6</v>
      </c>
      <c r="AB150" s="33" t="s">
        <v>6</v>
      </c>
      <c r="AC150" s="33" t="s">
        <v>6</v>
      </c>
      <c r="AD150" s="33" t="s">
        <v>6</v>
      </c>
      <c r="AE150" s="33" t="s">
        <v>6</v>
      </c>
      <c r="AF150" s="33" t="s">
        <v>25</v>
      </c>
      <c r="AG150" s="33" t="s">
        <v>6</v>
      </c>
      <c r="AH150" s="33" t="s">
        <v>6</v>
      </c>
      <c r="AI150" s="33" t="s">
        <v>6</v>
      </c>
      <c r="AJ150" s="33">
        <f t="shared" si="1"/>
        <v>25</v>
      </c>
      <c r="AK150" s="33">
        <f t="shared" si="2"/>
        <v>0</v>
      </c>
      <c r="AL150" s="33">
        <f t="shared" si="3"/>
        <v>0</v>
      </c>
      <c r="AM150" s="33">
        <f t="shared" si="4"/>
        <v>1</v>
      </c>
      <c r="AN150" s="33">
        <f t="shared" si="5"/>
        <v>1</v>
      </c>
      <c r="AO150" s="33">
        <f t="shared" si="6"/>
        <v>0</v>
      </c>
      <c r="AP150" s="33">
        <f t="shared" si="7"/>
        <v>0</v>
      </c>
      <c r="AQ150" s="33">
        <f t="shared" si="8"/>
        <v>0</v>
      </c>
      <c r="AR150" s="33">
        <v>1.0</v>
      </c>
      <c r="AS150" s="33">
        <f t="shared" si="9"/>
        <v>0</v>
      </c>
      <c r="AT150" s="33">
        <v>2.0</v>
      </c>
      <c r="AU150" s="33">
        <f t="shared" si="10"/>
        <v>0</v>
      </c>
      <c r="AV150" s="33">
        <v>2.0</v>
      </c>
      <c r="AW150" s="34">
        <f t="shared" si="11"/>
        <v>27</v>
      </c>
      <c r="AX150" s="34">
        <f t="shared" si="12"/>
        <v>27</v>
      </c>
      <c r="AY150" s="33"/>
    </row>
    <row r="151" ht="15.75" customHeight="1">
      <c r="A151" s="38"/>
      <c r="B151" s="18" t="s">
        <v>110</v>
      </c>
      <c r="C151" s="29" t="s">
        <v>111</v>
      </c>
      <c r="D151" s="35" t="s">
        <v>125</v>
      </c>
      <c r="E151" s="36" t="s">
        <v>6</v>
      </c>
      <c r="F151" s="36" t="s">
        <v>6</v>
      </c>
      <c r="G151" s="36" t="s">
        <v>6</v>
      </c>
      <c r="H151" s="36" t="s">
        <v>6</v>
      </c>
      <c r="I151" s="36" t="s">
        <v>6</v>
      </c>
      <c r="J151" s="36" t="s">
        <v>6</v>
      </c>
      <c r="K151" s="36" t="s">
        <v>25</v>
      </c>
      <c r="L151" s="36" t="s">
        <v>9</v>
      </c>
      <c r="M151" s="36" t="s">
        <v>10</v>
      </c>
      <c r="N151" s="36" t="s">
        <v>6</v>
      </c>
      <c r="O151" s="36" t="s">
        <v>6</v>
      </c>
      <c r="P151" s="36" t="s">
        <v>6</v>
      </c>
      <c r="Q151" s="36" t="s">
        <v>6</v>
      </c>
      <c r="R151" s="36" t="s">
        <v>25</v>
      </c>
      <c r="S151" s="36" t="s">
        <v>6</v>
      </c>
      <c r="T151" s="36" t="s">
        <v>6</v>
      </c>
      <c r="U151" s="36" t="s">
        <v>6</v>
      </c>
      <c r="V151" s="36" t="s">
        <v>6</v>
      </c>
      <c r="W151" s="36" t="s">
        <v>6</v>
      </c>
      <c r="X151" s="36" t="s">
        <v>6</v>
      </c>
      <c r="Y151" s="36" t="s">
        <v>25</v>
      </c>
      <c r="Z151" s="36" t="s">
        <v>6</v>
      </c>
      <c r="AA151" s="36" t="s">
        <v>6</v>
      </c>
      <c r="AB151" s="36" t="s">
        <v>6</v>
      </c>
      <c r="AC151" s="36" t="s">
        <v>6</v>
      </c>
      <c r="AD151" s="36" t="s">
        <v>6</v>
      </c>
      <c r="AE151" s="36" t="s">
        <v>6</v>
      </c>
      <c r="AF151" s="36" t="s">
        <v>25</v>
      </c>
      <c r="AG151" s="36" t="s">
        <v>6</v>
      </c>
      <c r="AH151" s="36" t="s">
        <v>6</v>
      </c>
      <c r="AI151" s="36" t="s">
        <v>6</v>
      </c>
      <c r="AJ151" s="36">
        <f t="shared" si="1"/>
        <v>25</v>
      </c>
      <c r="AK151" s="36">
        <f t="shared" si="2"/>
        <v>0</v>
      </c>
      <c r="AL151" s="36">
        <f t="shared" si="3"/>
        <v>0</v>
      </c>
      <c r="AM151" s="36">
        <f t="shared" si="4"/>
        <v>1</v>
      </c>
      <c r="AN151" s="36">
        <f t="shared" si="5"/>
        <v>1</v>
      </c>
      <c r="AO151" s="36">
        <f t="shared" si="6"/>
        <v>0</v>
      </c>
      <c r="AP151" s="36">
        <f t="shared" si="7"/>
        <v>0</v>
      </c>
      <c r="AQ151" s="36">
        <f t="shared" si="8"/>
        <v>0</v>
      </c>
      <c r="AR151" s="36">
        <v>1.0</v>
      </c>
      <c r="AS151" s="36">
        <f t="shared" si="9"/>
        <v>0</v>
      </c>
      <c r="AT151" s="36">
        <v>2.0</v>
      </c>
      <c r="AU151" s="36">
        <f t="shared" si="10"/>
        <v>0</v>
      </c>
      <c r="AV151" s="36">
        <v>2.0</v>
      </c>
      <c r="AW151" s="37">
        <f t="shared" si="11"/>
        <v>27</v>
      </c>
      <c r="AX151" s="37">
        <f t="shared" si="12"/>
        <v>27</v>
      </c>
      <c r="AY151" s="36"/>
    </row>
    <row r="152" ht="15.75" customHeight="1">
      <c r="A152" s="38"/>
      <c r="B152" s="24" t="s">
        <v>112</v>
      </c>
      <c r="C152" s="31" t="s">
        <v>113</v>
      </c>
      <c r="D152" s="32" t="s">
        <v>125</v>
      </c>
      <c r="E152" s="33" t="s">
        <v>6</v>
      </c>
      <c r="F152" s="33" t="s">
        <v>6</v>
      </c>
      <c r="G152" s="33" t="s">
        <v>6</v>
      </c>
      <c r="H152" s="33" t="s">
        <v>6</v>
      </c>
      <c r="I152" s="33" t="s">
        <v>6</v>
      </c>
      <c r="J152" s="33" t="s">
        <v>6</v>
      </c>
      <c r="K152" s="33" t="s">
        <v>25</v>
      </c>
      <c r="L152" s="33" t="s">
        <v>9</v>
      </c>
      <c r="M152" s="33" t="s">
        <v>10</v>
      </c>
      <c r="N152" s="33" t="s">
        <v>6</v>
      </c>
      <c r="O152" s="33" t="s">
        <v>6</v>
      </c>
      <c r="P152" s="33" t="s">
        <v>6</v>
      </c>
      <c r="Q152" s="33" t="s">
        <v>6</v>
      </c>
      <c r="R152" s="33" t="s">
        <v>25</v>
      </c>
      <c r="S152" s="33" t="s">
        <v>6</v>
      </c>
      <c r="T152" s="33" t="s">
        <v>6</v>
      </c>
      <c r="U152" s="33" t="s">
        <v>6</v>
      </c>
      <c r="V152" s="33" t="s">
        <v>6</v>
      </c>
      <c r="W152" s="33" t="s">
        <v>6</v>
      </c>
      <c r="X152" s="33" t="s">
        <v>6</v>
      </c>
      <c r="Y152" s="33" t="s">
        <v>25</v>
      </c>
      <c r="Z152" s="33" t="s">
        <v>6</v>
      </c>
      <c r="AA152" s="33" t="s">
        <v>6</v>
      </c>
      <c r="AB152" s="33" t="s">
        <v>6</v>
      </c>
      <c r="AC152" s="33" t="s">
        <v>6</v>
      </c>
      <c r="AD152" s="33" t="s">
        <v>6</v>
      </c>
      <c r="AE152" s="33" t="s">
        <v>6</v>
      </c>
      <c r="AF152" s="33" t="s">
        <v>25</v>
      </c>
      <c r="AG152" s="33" t="s">
        <v>6</v>
      </c>
      <c r="AH152" s="33" t="s">
        <v>6</v>
      </c>
      <c r="AI152" s="33" t="s">
        <v>6</v>
      </c>
      <c r="AJ152" s="33">
        <f t="shared" si="1"/>
        <v>25</v>
      </c>
      <c r="AK152" s="33">
        <f t="shared" si="2"/>
        <v>0</v>
      </c>
      <c r="AL152" s="33">
        <f t="shared" si="3"/>
        <v>0</v>
      </c>
      <c r="AM152" s="33">
        <f t="shared" si="4"/>
        <v>1</v>
      </c>
      <c r="AN152" s="33">
        <f t="shared" si="5"/>
        <v>1</v>
      </c>
      <c r="AO152" s="33">
        <f t="shared" si="6"/>
        <v>0</v>
      </c>
      <c r="AP152" s="33">
        <f t="shared" si="7"/>
        <v>0</v>
      </c>
      <c r="AQ152" s="33">
        <f t="shared" si="8"/>
        <v>0</v>
      </c>
      <c r="AR152" s="33">
        <v>1.0</v>
      </c>
      <c r="AS152" s="33">
        <f t="shared" si="9"/>
        <v>0</v>
      </c>
      <c r="AT152" s="33">
        <v>2.0</v>
      </c>
      <c r="AU152" s="33">
        <f t="shared" si="10"/>
        <v>0</v>
      </c>
      <c r="AV152" s="33">
        <v>2.0</v>
      </c>
      <c r="AW152" s="34">
        <f t="shared" si="11"/>
        <v>27</v>
      </c>
      <c r="AX152" s="34">
        <f t="shared" si="12"/>
        <v>27</v>
      </c>
      <c r="AY152" s="33"/>
    </row>
    <row r="153" ht="15.75" customHeight="1">
      <c r="A153" s="38"/>
      <c r="B153" s="18" t="s">
        <v>114</v>
      </c>
      <c r="C153" s="29" t="s">
        <v>115</v>
      </c>
      <c r="D153" s="35" t="s">
        <v>125</v>
      </c>
      <c r="E153" s="36" t="s">
        <v>6</v>
      </c>
      <c r="F153" s="36" t="s">
        <v>6</v>
      </c>
      <c r="G153" s="36" t="s">
        <v>6</v>
      </c>
      <c r="H153" s="36" t="s">
        <v>6</v>
      </c>
      <c r="I153" s="36" t="s">
        <v>6</v>
      </c>
      <c r="J153" s="36" t="s">
        <v>6</v>
      </c>
      <c r="K153" s="36" t="s">
        <v>25</v>
      </c>
      <c r="L153" s="36" t="s">
        <v>9</v>
      </c>
      <c r="M153" s="36" t="s">
        <v>10</v>
      </c>
      <c r="N153" s="36" t="s">
        <v>6</v>
      </c>
      <c r="O153" s="36" t="s">
        <v>6</v>
      </c>
      <c r="P153" s="36" t="s">
        <v>6</v>
      </c>
      <c r="Q153" s="36" t="s">
        <v>6</v>
      </c>
      <c r="R153" s="36" t="s">
        <v>25</v>
      </c>
      <c r="S153" s="36" t="s">
        <v>6</v>
      </c>
      <c r="T153" s="36" t="s">
        <v>6</v>
      </c>
      <c r="U153" s="36" t="s">
        <v>6</v>
      </c>
      <c r="V153" s="36" t="s">
        <v>6</v>
      </c>
      <c r="W153" s="36" t="s">
        <v>6</v>
      </c>
      <c r="X153" s="36" t="s">
        <v>6</v>
      </c>
      <c r="Y153" s="36" t="s">
        <v>25</v>
      </c>
      <c r="Z153" s="36" t="s">
        <v>6</v>
      </c>
      <c r="AA153" s="36" t="s">
        <v>6</v>
      </c>
      <c r="AB153" s="36" t="s">
        <v>6</v>
      </c>
      <c r="AC153" s="36" t="s">
        <v>6</v>
      </c>
      <c r="AD153" s="36" t="s">
        <v>6</v>
      </c>
      <c r="AE153" s="36" t="s">
        <v>6</v>
      </c>
      <c r="AF153" s="36" t="s">
        <v>25</v>
      </c>
      <c r="AG153" s="36" t="s">
        <v>6</v>
      </c>
      <c r="AH153" s="36" t="s">
        <v>6</v>
      </c>
      <c r="AI153" s="36" t="s">
        <v>6</v>
      </c>
      <c r="AJ153" s="36">
        <f t="shared" si="1"/>
        <v>25</v>
      </c>
      <c r="AK153" s="36">
        <f t="shared" si="2"/>
        <v>0</v>
      </c>
      <c r="AL153" s="36">
        <f t="shared" si="3"/>
        <v>0</v>
      </c>
      <c r="AM153" s="36">
        <f t="shared" si="4"/>
        <v>1</v>
      </c>
      <c r="AN153" s="36">
        <f t="shared" si="5"/>
        <v>1</v>
      </c>
      <c r="AO153" s="36">
        <f t="shared" si="6"/>
        <v>0</v>
      </c>
      <c r="AP153" s="36">
        <f t="shared" si="7"/>
        <v>0</v>
      </c>
      <c r="AQ153" s="36">
        <f t="shared" si="8"/>
        <v>0</v>
      </c>
      <c r="AR153" s="36">
        <v>1.0</v>
      </c>
      <c r="AS153" s="36">
        <f t="shared" si="9"/>
        <v>0</v>
      </c>
      <c r="AT153" s="36">
        <v>2.0</v>
      </c>
      <c r="AU153" s="36">
        <f t="shared" si="10"/>
        <v>0</v>
      </c>
      <c r="AV153" s="36">
        <v>2.0</v>
      </c>
      <c r="AW153" s="37">
        <f t="shared" si="11"/>
        <v>27</v>
      </c>
      <c r="AX153" s="37">
        <f t="shared" si="12"/>
        <v>27</v>
      </c>
      <c r="AY153" s="36"/>
    </row>
    <row r="154" ht="15.75" customHeight="1">
      <c r="A154" s="38"/>
      <c r="B154" s="24" t="s">
        <v>116</v>
      </c>
      <c r="C154" s="31" t="s">
        <v>117</v>
      </c>
      <c r="D154" s="32" t="s">
        <v>125</v>
      </c>
      <c r="E154" s="33" t="s">
        <v>6</v>
      </c>
      <c r="F154" s="33" t="s">
        <v>6</v>
      </c>
      <c r="G154" s="33" t="s">
        <v>6</v>
      </c>
      <c r="H154" s="33" t="s">
        <v>6</v>
      </c>
      <c r="I154" s="33" t="s">
        <v>6</v>
      </c>
      <c r="J154" s="33" t="s">
        <v>6</v>
      </c>
      <c r="K154" s="33" t="s">
        <v>25</v>
      </c>
      <c r="L154" s="33" t="s">
        <v>9</v>
      </c>
      <c r="M154" s="33" t="s">
        <v>10</v>
      </c>
      <c r="N154" s="33" t="s">
        <v>6</v>
      </c>
      <c r="O154" s="33" t="s">
        <v>6</v>
      </c>
      <c r="P154" s="33" t="s">
        <v>6</v>
      </c>
      <c r="Q154" s="33" t="s">
        <v>6</v>
      </c>
      <c r="R154" s="33" t="s">
        <v>25</v>
      </c>
      <c r="S154" s="33" t="s">
        <v>6</v>
      </c>
      <c r="T154" s="33" t="s">
        <v>6</v>
      </c>
      <c r="U154" s="33" t="s">
        <v>6</v>
      </c>
      <c r="V154" s="33" t="s">
        <v>6</v>
      </c>
      <c r="W154" s="33" t="s">
        <v>6</v>
      </c>
      <c r="X154" s="33" t="s">
        <v>6</v>
      </c>
      <c r="Y154" s="33" t="s">
        <v>25</v>
      </c>
      <c r="Z154" s="33" t="s">
        <v>6</v>
      </c>
      <c r="AA154" s="33" t="s">
        <v>6</v>
      </c>
      <c r="AB154" s="33" t="s">
        <v>6</v>
      </c>
      <c r="AC154" s="33" t="s">
        <v>6</v>
      </c>
      <c r="AD154" s="33" t="s">
        <v>6</v>
      </c>
      <c r="AE154" s="33" t="s">
        <v>6</v>
      </c>
      <c r="AF154" s="33" t="s">
        <v>25</v>
      </c>
      <c r="AG154" s="33" t="s">
        <v>6</v>
      </c>
      <c r="AH154" s="33" t="s">
        <v>6</v>
      </c>
      <c r="AI154" s="33" t="s">
        <v>6</v>
      </c>
      <c r="AJ154" s="33">
        <f t="shared" si="1"/>
        <v>25</v>
      </c>
      <c r="AK154" s="33">
        <f t="shared" si="2"/>
        <v>0</v>
      </c>
      <c r="AL154" s="33">
        <f t="shared" si="3"/>
        <v>0</v>
      </c>
      <c r="AM154" s="33">
        <f t="shared" si="4"/>
        <v>1</v>
      </c>
      <c r="AN154" s="33">
        <f t="shared" si="5"/>
        <v>1</v>
      </c>
      <c r="AO154" s="33">
        <f t="shared" si="6"/>
        <v>0</v>
      </c>
      <c r="AP154" s="33">
        <f t="shared" si="7"/>
        <v>0</v>
      </c>
      <c r="AQ154" s="33">
        <f t="shared" si="8"/>
        <v>0</v>
      </c>
      <c r="AR154" s="33">
        <v>1.0</v>
      </c>
      <c r="AS154" s="33">
        <f t="shared" si="9"/>
        <v>0</v>
      </c>
      <c r="AT154" s="33">
        <v>2.0</v>
      </c>
      <c r="AU154" s="33">
        <f t="shared" si="10"/>
        <v>0</v>
      </c>
      <c r="AV154" s="33">
        <v>2.0</v>
      </c>
      <c r="AW154" s="34">
        <f t="shared" si="11"/>
        <v>27</v>
      </c>
      <c r="AX154" s="34">
        <f t="shared" si="12"/>
        <v>27</v>
      </c>
      <c r="AY154" s="33"/>
    </row>
    <row r="155" ht="15.75" customHeight="1">
      <c r="A155" s="38"/>
      <c r="B155" s="18" t="s">
        <v>118</v>
      </c>
      <c r="C155" s="29" t="s">
        <v>119</v>
      </c>
      <c r="D155" s="35" t="s">
        <v>125</v>
      </c>
      <c r="E155" s="36" t="s">
        <v>6</v>
      </c>
      <c r="F155" s="36" t="s">
        <v>6</v>
      </c>
      <c r="G155" s="36" t="s">
        <v>6</v>
      </c>
      <c r="H155" s="36" t="s">
        <v>6</v>
      </c>
      <c r="I155" s="36" t="s">
        <v>6</v>
      </c>
      <c r="J155" s="36" t="s">
        <v>6</v>
      </c>
      <c r="K155" s="36" t="s">
        <v>25</v>
      </c>
      <c r="L155" s="36" t="s">
        <v>9</v>
      </c>
      <c r="M155" s="36" t="s">
        <v>10</v>
      </c>
      <c r="N155" s="36" t="s">
        <v>6</v>
      </c>
      <c r="O155" s="36" t="s">
        <v>6</v>
      </c>
      <c r="P155" s="36" t="s">
        <v>6</v>
      </c>
      <c r="Q155" s="36" t="s">
        <v>6</v>
      </c>
      <c r="R155" s="36" t="s">
        <v>25</v>
      </c>
      <c r="S155" s="36" t="s">
        <v>6</v>
      </c>
      <c r="T155" s="36" t="s">
        <v>6</v>
      </c>
      <c r="U155" s="36" t="s">
        <v>6</v>
      </c>
      <c r="V155" s="36" t="s">
        <v>6</v>
      </c>
      <c r="W155" s="36" t="s">
        <v>6</v>
      </c>
      <c r="X155" s="36" t="s">
        <v>6</v>
      </c>
      <c r="Y155" s="36" t="s">
        <v>25</v>
      </c>
      <c r="Z155" s="36" t="s">
        <v>6</v>
      </c>
      <c r="AA155" s="36" t="s">
        <v>6</v>
      </c>
      <c r="AB155" s="36" t="s">
        <v>6</v>
      </c>
      <c r="AC155" s="36" t="s">
        <v>6</v>
      </c>
      <c r="AD155" s="36" t="s">
        <v>6</v>
      </c>
      <c r="AE155" s="36" t="s">
        <v>6</v>
      </c>
      <c r="AF155" s="36" t="s">
        <v>25</v>
      </c>
      <c r="AG155" s="36" t="s">
        <v>6</v>
      </c>
      <c r="AH155" s="36" t="s">
        <v>6</v>
      </c>
      <c r="AI155" s="36" t="s">
        <v>6</v>
      </c>
      <c r="AJ155" s="36">
        <f t="shared" si="1"/>
        <v>25</v>
      </c>
      <c r="AK155" s="36">
        <f t="shared" si="2"/>
        <v>0</v>
      </c>
      <c r="AL155" s="36">
        <f t="shared" si="3"/>
        <v>0</v>
      </c>
      <c r="AM155" s="36">
        <f t="shared" si="4"/>
        <v>1</v>
      </c>
      <c r="AN155" s="36">
        <f t="shared" si="5"/>
        <v>1</v>
      </c>
      <c r="AO155" s="36">
        <f t="shared" si="6"/>
        <v>0</v>
      </c>
      <c r="AP155" s="36">
        <f t="shared" si="7"/>
        <v>0</v>
      </c>
      <c r="AQ155" s="36">
        <f t="shared" si="8"/>
        <v>0</v>
      </c>
      <c r="AR155" s="36">
        <v>1.0</v>
      </c>
      <c r="AS155" s="36">
        <f t="shared" si="9"/>
        <v>0</v>
      </c>
      <c r="AT155" s="36">
        <v>2.0</v>
      </c>
      <c r="AU155" s="36">
        <f t="shared" si="10"/>
        <v>0</v>
      </c>
      <c r="AV155" s="36">
        <v>2.0</v>
      </c>
      <c r="AW155" s="37">
        <f t="shared" si="11"/>
        <v>27</v>
      </c>
      <c r="AX155" s="37">
        <f t="shared" si="12"/>
        <v>27</v>
      </c>
      <c r="AY155" s="36"/>
    </row>
    <row r="156" ht="15.75" customHeight="1">
      <c r="A156" s="38"/>
      <c r="B156" s="24" t="s">
        <v>120</v>
      </c>
      <c r="C156" s="31" t="s">
        <v>121</v>
      </c>
      <c r="D156" s="32" t="s">
        <v>125</v>
      </c>
      <c r="E156" s="33" t="s">
        <v>6</v>
      </c>
      <c r="F156" s="33" t="s">
        <v>6</v>
      </c>
      <c r="G156" s="33" t="s">
        <v>6</v>
      </c>
      <c r="H156" s="33" t="s">
        <v>6</v>
      </c>
      <c r="I156" s="33" t="s">
        <v>6</v>
      </c>
      <c r="J156" s="33" t="s">
        <v>6</v>
      </c>
      <c r="K156" s="33" t="s">
        <v>25</v>
      </c>
      <c r="L156" s="33" t="s">
        <v>9</v>
      </c>
      <c r="M156" s="33" t="s">
        <v>10</v>
      </c>
      <c r="N156" s="33" t="s">
        <v>6</v>
      </c>
      <c r="O156" s="33" t="s">
        <v>6</v>
      </c>
      <c r="P156" s="33" t="s">
        <v>6</v>
      </c>
      <c r="Q156" s="33" t="s">
        <v>6</v>
      </c>
      <c r="R156" s="33" t="s">
        <v>25</v>
      </c>
      <c r="S156" s="33" t="s">
        <v>6</v>
      </c>
      <c r="T156" s="33" t="s">
        <v>6</v>
      </c>
      <c r="U156" s="33" t="s">
        <v>6</v>
      </c>
      <c r="V156" s="33" t="s">
        <v>6</v>
      </c>
      <c r="W156" s="33" t="s">
        <v>6</v>
      </c>
      <c r="X156" s="33" t="s">
        <v>6</v>
      </c>
      <c r="Y156" s="33" t="s">
        <v>25</v>
      </c>
      <c r="Z156" s="33" t="s">
        <v>6</v>
      </c>
      <c r="AA156" s="33" t="s">
        <v>6</v>
      </c>
      <c r="AB156" s="33" t="s">
        <v>6</v>
      </c>
      <c r="AC156" s="33" t="s">
        <v>6</v>
      </c>
      <c r="AD156" s="33" t="s">
        <v>6</v>
      </c>
      <c r="AE156" s="33" t="s">
        <v>6</v>
      </c>
      <c r="AF156" s="33" t="s">
        <v>25</v>
      </c>
      <c r="AG156" s="33" t="s">
        <v>6</v>
      </c>
      <c r="AH156" s="33" t="s">
        <v>6</v>
      </c>
      <c r="AI156" s="33" t="s">
        <v>6</v>
      </c>
      <c r="AJ156" s="33">
        <f t="shared" si="1"/>
        <v>25</v>
      </c>
      <c r="AK156" s="33">
        <f t="shared" si="2"/>
        <v>0</v>
      </c>
      <c r="AL156" s="33">
        <f t="shared" si="3"/>
        <v>0</v>
      </c>
      <c r="AM156" s="33">
        <f t="shared" si="4"/>
        <v>1</v>
      </c>
      <c r="AN156" s="33">
        <f t="shared" si="5"/>
        <v>1</v>
      </c>
      <c r="AO156" s="33">
        <f t="shared" si="6"/>
        <v>0</v>
      </c>
      <c r="AP156" s="33">
        <f t="shared" si="7"/>
        <v>0</v>
      </c>
      <c r="AQ156" s="33">
        <f t="shared" si="8"/>
        <v>0</v>
      </c>
      <c r="AR156" s="33">
        <v>1.0</v>
      </c>
      <c r="AS156" s="33">
        <f t="shared" si="9"/>
        <v>0</v>
      </c>
      <c r="AT156" s="33">
        <v>2.0</v>
      </c>
      <c r="AU156" s="33">
        <f t="shared" si="10"/>
        <v>0</v>
      </c>
      <c r="AV156" s="33">
        <v>2.0</v>
      </c>
      <c r="AW156" s="34">
        <f t="shared" si="11"/>
        <v>27</v>
      </c>
      <c r="AX156" s="34">
        <f t="shared" si="12"/>
        <v>27</v>
      </c>
      <c r="AY156" s="33"/>
    </row>
    <row r="157" ht="15.75" customHeight="1">
      <c r="A157" s="38"/>
      <c r="B157" s="18" t="s">
        <v>122</v>
      </c>
      <c r="C157" s="29" t="s">
        <v>123</v>
      </c>
      <c r="D157" s="35" t="s">
        <v>125</v>
      </c>
      <c r="E157" s="36" t="s">
        <v>6</v>
      </c>
      <c r="F157" s="36" t="s">
        <v>6</v>
      </c>
      <c r="G157" s="36" t="s">
        <v>6</v>
      </c>
      <c r="H157" s="36" t="s">
        <v>6</v>
      </c>
      <c r="I157" s="36" t="s">
        <v>6</v>
      </c>
      <c r="J157" s="36" t="s">
        <v>6</v>
      </c>
      <c r="K157" s="36" t="s">
        <v>25</v>
      </c>
      <c r="L157" s="36" t="s">
        <v>9</v>
      </c>
      <c r="M157" s="36" t="s">
        <v>10</v>
      </c>
      <c r="N157" s="36" t="s">
        <v>6</v>
      </c>
      <c r="O157" s="36" t="s">
        <v>6</v>
      </c>
      <c r="P157" s="36" t="s">
        <v>6</v>
      </c>
      <c r="Q157" s="36" t="s">
        <v>6</v>
      </c>
      <c r="R157" s="36" t="s">
        <v>25</v>
      </c>
      <c r="S157" s="36" t="s">
        <v>6</v>
      </c>
      <c r="T157" s="36" t="s">
        <v>6</v>
      </c>
      <c r="U157" s="36" t="s">
        <v>6</v>
      </c>
      <c r="V157" s="36" t="s">
        <v>6</v>
      </c>
      <c r="W157" s="36" t="s">
        <v>6</v>
      </c>
      <c r="X157" s="36" t="s">
        <v>6</v>
      </c>
      <c r="Y157" s="36" t="s">
        <v>25</v>
      </c>
      <c r="Z157" s="36" t="s">
        <v>6</v>
      </c>
      <c r="AA157" s="36" t="s">
        <v>6</v>
      </c>
      <c r="AB157" s="36" t="s">
        <v>6</v>
      </c>
      <c r="AC157" s="36" t="s">
        <v>6</v>
      </c>
      <c r="AD157" s="36" t="s">
        <v>6</v>
      </c>
      <c r="AE157" s="36" t="s">
        <v>6</v>
      </c>
      <c r="AF157" s="36" t="s">
        <v>25</v>
      </c>
      <c r="AG157" s="36" t="s">
        <v>6</v>
      </c>
      <c r="AH157" s="36" t="s">
        <v>6</v>
      </c>
      <c r="AI157" s="36" t="s">
        <v>6</v>
      </c>
      <c r="AJ157" s="36">
        <f t="shared" si="1"/>
        <v>25</v>
      </c>
      <c r="AK157" s="36">
        <f t="shared" si="2"/>
        <v>0</v>
      </c>
      <c r="AL157" s="36">
        <f t="shared" si="3"/>
        <v>0</v>
      </c>
      <c r="AM157" s="36">
        <f t="shared" si="4"/>
        <v>1</v>
      </c>
      <c r="AN157" s="36">
        <f t="shared" si="5"/>
        <v>1</v>
      </c>
      <c r="AO157" s="36">
        <f t="shared" si="6"/>
        <v>0</v>
      </c>
      <c r="AP157" s="36">
        <f t="shared" si="7"/>
        <v>0</v>
      </c>
      <c r="AQ157" s="36">
        <f t="shared" si="8"/>
        <v>0</v>
      </c>
      <c r="AR157" s="36">
        <v>1.0</v>
      </c>
      <c r="AS157" s="36">
        <f t="shared" si="9"/>
        <v>0</v>
      </c>
      <c r="AT157" s="36">
        <v>2.0</v>
      </c>
      <c r="AU157" s="36">
        <f t="shared" si="10"/>
        <v>0</v>
      </c>
      <c r="AV157" s="36">
        <v>2.0</v>
      </c>
      <c r="AW157" s="37">
        <f t="shared" si="11"/>
        <v>27</v>
      </c>
      <c r="AX157" s="37">
        <f t="shared" si="12"/>
        <v>27</v>
      </c>
      <c r="AY157" s="36"/>
    </row>
    <row r="158" ht="15.75" customHeight="1">
      <c r="A158" s="38"/>
      <c r="B158" s="24"/>
      <c r="C158" s="31"/>
      <c r="D158" s="32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>
        <f t="shared" si="1"/>
        <v>0</v>
      </c>
      <c r="AK158" s="33">
        <f t="shared" si="2"/>
        <v>0</v>
      </c>
      <c r="AL158" s="33">
        <f t="shared" si="3"/>
        <v>0</v>
      </c>
      <c r="AM158" s="33">
        <f t="shared" si="4"/>
        <v>0</v>
      </c>
      <c r="AN158" s="33">
        <f t="shared" si="5"/>
        <v>0</v>
      </c>
      <c r="AO158" s="33">
        <f t="shared" si="6"/>
        <v>0</v>
      </c>
      <c r="AP158" s="33">
        <f t="shared" si="7"/>
        <v>0</v>
      </c>
      <c r="AQ158" s="33">
        <f t="shared" si="8"/>
        <v>0</v>
      </c>
      <c r="AR158" s="33">
        <v>1.0</v>
      </c>
      <c r="AS158" s="33">
        <f t="shared" si="9"/>
        <v>0</v>
      </c>
      <c r="AT158" s="33">
        <v>2.0</v>
      </c>
      <c r="AU158" s="33">
        <f t="shared" si="10"/>
        <v>0</v>
      </c>
      <c r="AV158" s="33">
        <v>2.0</v>
      </c>
      <c r="AW158" s="34">
        <f t="shared" si="11"/>
        <v>0</v>
      </c>
      <c r="AX158" s="34">
        <f t="shared" si="12"/>
        <v>0</v>
      </c>
      <c r="AY158" s="33"/>
    </row>
    <row r="159" ht="15.75" customHeight="1">
      <c r="A159" s="38"/>
      <c r="B159" s="18"/>
      <c r="C159" s="29"/>
      <c r="D159" s="35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>
        <f t="shared" si="1"/>
        <v>0</v>
      </c>
      <c r="AK159" s="36">
        <f t="shared" si="2"/>
        <v>0</v>
      </c>
      <c r="AL159" s="36">
        <f t="shared" si="3"/>
        <v>0</v>
      </c>
      <c r="AM159" s="36">
        <f t="shared" si="4"/>
        <v>0</v>
      </c>
      <c r="AN159" s="36">
        <f t="shared" si="5"/>
        <v>0</v>
      </c>
      <c r="AO159" s="36">
        <f t="shared" si="6"/>
        <v>0</v>
      </c>
      <c r="AP159" s="36">
        <f t="shared" si="7"/>
        <v>0</v>
      </c>
      <c r="AQ159" s="36">
        <f t="shared" si="8"/>
        <v>0</v>
      </c>
      <c r="AR159" s="36">
        <v>1.0</v>
      </c>
      <c r="AS159" s="36">
        <f t="shared" si="9"/>
        <v>0</v>
      </c>
      <c r="AT159" s="36">
        <v>2.0</v>
      </c>
      <c r="AU159" s="36">
        <f t="shared" si="10"/>
        <v>0</v>
      </c>
      <c r="AV159" s="36">
        <v>2.0</v>
      </c>
      <c r="AW159" s="37">
        <f t="shared" si="11"/>
        <v>0</v>
      </c>
      <c r="AX159" s="37">
        <f t="shared" si="12"/>
        <v>0</v>
      </c>
      <c r="AY159" s="36"/>
    </row>
    <row r="160" ht="15.75" customHeight="1">
      <c r="A160" s="38"/>
      <c r="B160" s="24"/>
      <c r="C160" s="31"/>
      <c r="D160" s="32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>
        <f t="shared" si="1"/>
        <v>0</v>
      </c>
      <c r="AK160" s="33">
        <f t="shared" si="2"/>
        <v>0</v>
      </c>
      <c r="AL160" s="33">
        <f t="shared" si="3"/>
        <v>0</v>
      </c>
      <c r="AM160" s="33">
        <f t="shared" si="4"/>
        <v>0</v>
      </c>
      <c r="AN160" s="33">
        <f t="shared" si="5"/>
        <v>0</v>
      </c>
      <c r="AO160" s="33">
        <f t="shared" si="6"/>
        <v>0</v>
      </c>
      <c r="AP160" s="33">
        <f t="shared" si="7"/>
        <v>0</v>
      </c>
      <c r="AQ160" s="33">
        <f t="shared" si="8"/>
        <v>0</v>
      </c>
      <c r="AR160" s="33">
        <v>1.0</v>
      </c>
      <c r="AS160" s="33">
        <f t="shared" si="9"/>
        <v>0</v>
      </c>
      <c r="AT160" s="33">
        <v>2.0</v>
      </c>
      <c r="AU160" s="33">
        <f t="shared" si="10"/>
        <v>0</v>
      </c>
      <c r="AV160" s="33">
        <v>2.0</v>
      </c>
      <c r="AW160" s="34">
        <f t="shared" si="11"/>
        <v>0</v>
      </c>
      <c r="AX160" s="34">
        <f t="shared" si="12"/>
        <v>0</v>
      </c>
      <c r="AY160" s="33"/>
    </row>
    <row r="161" ht="15.75" customHeight="1">
      <c r="A161" s="38"/>
      <c r="B161" s="18"/>
      <c r="C161" s="29"/>
      <c r="D161" s="35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>
        <f t="shared" si="1"/>
        <v>0</v>
      </c>
      <c r="AK161" s="36">
        <f t="shared" si="2"/>
        <v>0</v>
      </c>
      <c r="AL161" s="36">
        <f t="shared" si="3"/>
        <v>0</v>
      </c>
      <c r="AM161" s="36">
        <f t="shared" si="4"/>
        <v>0</v>
      </c>
      <c r="AN161" s="36">
        <f t="shared" si="5"/>
        <v>0</v>
      </c>
      <c r="AO161" s="36">
        <f t="shared" si="6"/>
        <v>0</v>
      </c>
      <c r="AP161" s="36">
        <f t="shared" si="7"/>
        <v>0</v>
      </c>
      <c r="AQ161" s="36">
        <f t="shared" si="8"/>
        <v>0</v>
      </c>
      <c r="AR161" s="36">
        <v>1.0</v>
      </c>
      <c r="AS161" s="36">
        <f t="shared" si="9"/>
        <v>0</v>
      </c>
      <c r="AT161" s="36">
        <v>2.0</v>
      </c>
      <c r="AU161" s="36">
        <f t="shared" si="10"/>
        <v>0</v>
      </c>
      <c r="AV161" s="36">
        <v>2.0</v>
      </c>
      <c r="AW161" s="37">
        <f t="shared" si="11"/>
        <v>0</v>
      </c>
      <c r="AX161" s="37">
        <f t="shared" si="12"/>
        <v>0</v>
      </c>
      <c r="AY161" s="36"/>
    </row>
    <row r="162" ht="15.75" customHeight="1">
      <c r="A162" s="38"/>
      <c r="B162" s="24"/>
      <c r="C162" s="31"/>
      <c r="D162" s="32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>
        <f t="shared" si="1"/>
        <v>0</v>
      </c>
      <c r="AK162" s="33">
        <f t="shared" si="2"/>
        <v>0</v>
      </c>
      <c r="AL162" s="33">
        <f t="shared" si="3"/>
        <v>0</v>
      </c>
      <c r="AM162" s="33">
        <f t="shared" si="4"/>
        <v>0</v>
      </c>
      <c r="AN162" s="33">
        <f t="shared" si="5"/>
        <v>0</v>
      </c>
      <c r="AO162" s="33">
        <f t="shared" si="6"/>
        <v>0</v>
      </c>
      <c r="AP162" s="33">
        <f t="shared" si="7"/>
        <v>0</v>
      </c>
      <c r="AQ162" s="33">
        <f t="shared" si="8"/>
        <v>0</v>
      </c>
      <c r="AR162" s="33">
        <v>1.0</v>
      </c>
      <c r="AS162" s="33">
        <f t="shared" si="9"/>
        <v>0</v>
      </c>
      <c r="AT162" s="33">
        <v>2.0</v>
      </c>
      <c r="AU162" s="33">
        <f t="shared" si="10"/>
        <v>0</v>
      </c>
      <c r="AV162" s="33">
        <v>2.0</v>
      </c>
      <c r="AW162" s="34">
        <f t="shared" si="11"/>
        <v>0</v>
      </c>
      <c r="AX162" s="34">
        <f t="shared" si="12"/>
        <v>0</v>
      </c>
      <c r="AY162" s="33"/>
    </row>
    <row r="163" ht="15.75" customHeight="1">
      <c r="A163" s="38"/>
      <c r="B163" s="18"/>
      <c r="C163" s="29"/>
      <c r="D163" s="35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>
        <f t="shared" si="1"/>
        <v>0</v>
      </c>
      <c r="AK163" s="36">
        <f t="shared" si="2"/>
        <v>0</v>
      </c>
      <c r="AL163" s="36">
        <f t="shared" si="3"/>
        <v>0</v>
      </c>
      <c r="AM163" s="36">
        <f t="shared" si="4"/>
        <v>0</v>
      </c>
      <c r="AN163" s="36">
        <f t="shared" si="5"/>
        <v>0</v>
      </c>
      <c r="AO163" s="36">
        <f t="shared" si="6"/>
        <v>0</v>
      </c>
      <c r="AP163" s="36">
        <f t="shared" si="7"/>
        <v>0</v>
      </c>
      <c r="AQ163" s="36">
        <f t="shared" si="8"/>
        <v>0</v>
      </c>
      <c r="AR163" s="36">
        <v>1.0</v>
      </c>
      <c r="AS163" s="36">
        <f t="shared" si="9"/>
        <v>0</v>
      </c>
      <c r="AT163" s="36">
        <v>2.0</v>
      </c>
      <c r="AU163" s="36">
        <f t="shared" si="10"/>
        <v>0</v>
      </c>
      <c r="AV163" s="36">
        <v>2.0</v>
      </c>
      <c r="AW163" s="37">
        <f t="shared" si="11"/>
        <v>0</v>
      </c>
      <c r="AX163" s="37">
        <f t="shared" si="12"/>
        <v>0</v>
      </c>
      <c r="AY163" s="36"/>
    </row>
    <row r="164" ht="15.75" customHeight="1">
      <c r="A164" s="38"/>
      <c r="B164" s="24"/>
      <c r="C164" s="31"/>
      <c r="D164" s="32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>
        <f t="shared" si="1"/>
        <v>0</v>
      </c>
      <c r="AK164" s="33">
        <f t="shared" si="2"/>
        <v>0</v>
      </c>
      <c r="AL164" s="33">
        <f t="shared" si="3"/>
        <v>0</v>
      </c>
      <c r="AM164" s="33">
        <f t="shared" si="4"/>
        <v>0</v>
      </c>
      <c r="AN164" s="33">
        <f t="shared" si="5"/>
        <v>0</v>
      </c>
      <c r="AO164" s="33">
        <f t="shared" si="6"/>
        <v>0</v>
      </c>
      <c r="AP164" s="33">
        <f t="shared" si="7"/>
        <v>0</v>
      </c>
      <c r="AQ164" s="33">
        <f t="shared" si="8"/>
        <v>0</v>
      </c>
      <c r="AR164" s="33">
        <v>1.0</v>
      </c>
      <c r="AS164" s="33">
        <f t="shared" si="9"/>
        <v>0</v>
      </c>
      <c r="AT164" s="33">
        <v>2.0</v>
      </c>
      <c r="AU164" s="33">
        <f t="shared" si="10"/>
        <v>0</v>
      </c>
      <c r="AV164" s="33">
        <v>2.0</v>
      </c>
      <c r="AW164" s="34">
        <f t="shared" si="11"/>
        <v>0</v>
      </c>
      <c r="AX164" s="34">
        <f t="shared" si="12"/>
        <v>0</v>
      </c>
      <c r="AY164" s="33"/>
    </row>
    <row r="165" ht="15.75" customHeight="1">
      <c r="A165" s="38"/>
      <c r="B165" s="18"/>
      <c r="C165" s="29"/>
      <c r="D165" s="35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>
        <f t="shared" si="1"/>
        <v>0</v>
      </c>
      <c r="AK165" s="36">
        <f t="shared" si="2"/>
        <v>0</v>
      </c>
      <c r="AL165" s="36">
        <f t="shared" si="3"/>
        <v>0</v>
      </c>
      <c r="AM165" s="36">
        <f t="shared" si="4"/>
        <v>0</v>
      </c>
      <c r="AN165" s="36">
        <f t="shared" si="5"/>
        <v>0</v>
      </c>
      <c r="AO165" s="36">
        <f t="shared" si="6"/>
        <v>0</v>
      </c>
      <c r="AP165" s="36">
        <f t="shared" si="7"/>
        <v>0</v>
      </c>
      <c r="AQ165" s="36">
        <f t="shared" si="8"/>
        <v>0</v>
      </c>
      <c r="AR165" s="36">
        <v>1.0</v>
      </c>
      <c r="AS165" s="36">
        <f t="shared" si="9"/>
        <v>0</v>
      </c>
      <c r="AT165" s="36">
        <v>2.0</v>
      </c>
      <c r="AU165" s="36">
        <f t="shared" si="10"/>
        <v>0</v>
      </c>
      <c r="AV165" s="36">
        <v>2.0</v>
      </c>
      <c r="AW165" s="37">
        <f t="shared" si="11"/>
        <v>0</v>
      </c>
      <c r="AX165" s="37">
        <f t="shared" si="12"/>
        <v>0</v>
      </c>
      <c r="AY165" s="36"/>
    </row>
    <row r="166" ht="15.75" customHeight="1">
      <c r="A166" s="38"/>
      <c r="B166" s="24"/>
      <c r="C166" s="31"/>
      <c r="D166" s="32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>
        <f t="shared" si="1"/>
        <v>0</v>
      </c>
      <c r="AK166" s="33">
        <f t="shared" si="2"/>
        <v>0</v>
      </c>
      <c r="AL166" s="33">
        <f t="shared" si="3"/>
        <v>0</v>
      </c>
      <c r="AM166" s="33">
        <f t="shared" si="4"/>
        <v>0</v>
      </c>
      <c r="AN166" s="33">
        <f t="shared" si="5"/>
        <v>0</v>
      </c>
      <c r="AO166" s="33">
        <f t="shared" si="6"/>
        <v>0</v>
      </c>
      <c r="AP166" s="33">
        <f t="shared" si="7"/>
        <v>0</v>
      </c>
      <c r="AQ166" s="33">
        <f t="shared" si="8"/>
        <v>0</v>
      </c>
      <c r="AR166" s="33">
        <v>1.0</v>
      </c>
      <c r="AS166" s="33">
        <f t="shared" si="9"/>
        <v>0</v>
      </c>
      <c r="AT166" s="33">
        <v>2.0</v>
      </c>
      <c r="AU166" s="33">
        <f t="shared" si="10"/>
        <v>0</v>
      </c>
      <c r="AV166" s="33">
        <v>2.0</v>
      </c>
      <c r="AW166" s="34">
        <f t="shared" si="11"/>
        <v>0</v>
      </c>
      <c r="AX166" s="34">
        <f t="shared" si="12"/>
        <v>0</v>
      </c>
      <c r="AY166" s="33"/>
    </row>
    <row r="167" ht="15.75" customHeight="1">
      <c r="A167" s="38"/>
      <c r="B167" s="18"/>
      <c r="C167" s="29"/>
      <c r="D167" s="35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>
        <f t="shared" si="1"/>
        <v>0</v>
      </c>
      <c r="AK167" s="36">
        <f t="shared" si="2"/>
        <v>0</v>
      </c>
      <c r="AL167" s="36">
        <f t="shared" si="3"/>
        <v>0</v>
      </c>
      <c r="AM167" s="36">
        <f t="shared" si="4"/>
        <v>0</v>
      </c>
      <c r="AN167" s="36">
        <f t="shared" si="5"/>
        <v>0</v>
      </c>
      <c r="AO167" s="36">
        <f t="shared" si="6"/>
        <v>0</v>
      </c>
      <c r="AP167" s="36">
        <f t="shared" si="7"/>
        <v>0</v>
      </c>
      <c r="AQ167" s="36">
        <f t="shared" si="8"/>
        <v>0</v>
      </c>
      <c r="AR167" s="36">
        <v>1.0</v>
      </c>
      <c r="AS167" s="36">
        <f t="shared" si="9"/>
        <v>0</v>
      </c>
      <c r="AT167" s="36">
        <v>2.0</v>
      </c>
      <c r="AU167" s="36">
        <f t="shared" si="10"/>
        <v>0</v>
      </c>
      <c r="AV167" s="36">
        <v>2.0</v>
      </c>
      <c r="AW167" s="37">
        <f t="shared" si="11"/>
        <v>0</v>
      </c>
      <c r="AX167" s="37">
        <f t="shared" si="12"/>
        <v>0</v>
      </c>
      <c r="AY167" s="36"/>
    </row>
    <row r="168" ht="15.75" customHeight="1">
      <c r="A168" s="38"/>
      <c r="B168" s="24"/>
      <c r="C168" s="31"/>
      <c r="D168" s="32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>
        <f t="shared" si="1"/>
        <v>0</v>
      </c>
      <c r="AK168" s="33">
        <f t="shared" si="2"/>
        <v>0</v>
      </c>
      <c r="AL168" s="33">
        <f t="shared" si="3"/>
        <v>0</v>
      </c>
      <c r="AM168" s="33">
        <f t="shared" si="4"/>
        <v>0</v>
      </c>
      <c r="AN168" s="33">
        <f t="shared" si="5"/>
        <v>0</v>
      </c>
      <c r="AO168" s="33">
        <f t="shared" si="6"/>
        <v>0</v>
      </c>
      <c r="AP168" s="33">
        <f t="shared" si="7"/>
        <v>0</v>
      </c>
      <c r="AQ168" s="33">
        <f t="shared" si="8"/>
        <v>0</v>
      </c>
      <c r="AR168" s="33">
        <v>1.0</v>
      </c>
      <c r="AS168" s="33">
        <f t="shared" si="9"/>
        <v>0</v>
      </c>
      <c r="AT168" s="33">
        <v>2.0</v>
      </c>
      <c r="AU168" s="33">
        <f t="shared" si="10"/>
        <v>0</v>
      </c>
      <c r="AV168" s="33">
        <v>2.0</v>
      </c>
      <c r="AW168" s="34">
        <f t="shared" si="11"/>
        <v>0</v>
      </c>
      <c r="AX168" s="34">
        <f t="shared" si="12"/>
        <v>0</v>
      </c>
      <c r="AY168" s="33"/>
    </row>
    <row r="169" ht="15.75" customHeight="1">
      <c r="A169" s="38"/>
      <c r="B169" s="18"/>
      <c r="C169" s="29"/>
      <c r="D169" s="35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>
        <f t="shared" si="1"/>
        <v>0</v>
      </c>
      <c r="AK169" s="36">
        <f t="shared" si="2"/>
        <v>0</v>
      </c>
      <c r="AL169" s="36">
        <f t="shared" si="3"/>
        <v>0</v>
      </c>
      <c r="AM169" s="36">
        <f t="shared" si="4"/>
        <v>0</v>
      </c>
      <c r="AN169" s="36">
        <f t="shared" si="5"/>
        <v>0</v>
      </c>
      <c r="AO169" s="36">
        <f t="shared" si="6"/>
        <v>0</v>
      </c>
      <c r="AP169" s="36">
        <f t="shared" si="7"/>
        <v>0</v>
      </c>
      <c r="AQ169" s="36">
        <f t="shared" si="8"/>
        <v>0</v>
      </c>
      <c r="AR169" s="36">
        <v>1.0</v>
      </c>
      <c r="AS169" s="36">
        <f t="shared" si="9"/>
        <v>0</v>
      </c>
      <c r="AT169" s="36">
        <v>2.0</v>
      </c>
      <c r="AU169" s="36">
        <f t="shared" si="10"/>
        <v>0</v>
      </c>
      <c r="AV169" s="36">
        <v>2.0</v>
      </c>
      <c r="AW169" s="37">
        <f t="shared" si="11"/>
        <v>0</v>
      </c>
      <c r="AX169" s="37">
        <f t="shared" si="12"/>
        <v>0</v>
      </c>
      <c r="AY169" s="36"/>
    </row>
    <row r="170" ht="15.75" customHeight="1">
      <c r="A170" s="38"/>
      <c r="B170" s="24"/>
      <c r="C170" s="31"/>
      <c r="D170" s="32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>
        <f t="shared" si="1"/>
        <v>0</v>
      </c>
      <c r="AK170" s="33">
        <f t="shared" si="2"/>
        <v>0</v>
      </c>
      <c r="AL170" s="33">
        <f t="shared" si="3"/>
        <v>0</v>
      </c>
      <c r="AM170" s="33">
        <f t="shared" si="4"/>
        <v>0</v>
      </c>
      <c r="AN170" s="33">
        <f t="shared" si="5"/>
        <v>0</v>
      </c>
      <c r="AO170" s="33">
        <f t="shared" si="6"/>
        <v>0</v>
      </c>
      <c r="AP170" s="33">
        <f t="shared" si="7"/>
        <v>0</v>
      </c>
      <c r="AQ170" s="33">
        <f t="shared" si="8"/>
        <v>0</v>
      </c>
      <c r="AR170" s="33">
        <v>1.0</v>
      </c>
      <c r="AS170" s="33">
        <f t="shared" si="9"/>
        <v>0</v>
      </c>
      <c r="AT170" s="33">
        <v>2.0</v>
      </c>
      <c r="AU170" s="33">
        <f t="shared" si="10"/>
        <v>0</v>
      </c>
      <c r="AV170" s="33">
        <v>2.0</v>
      </c>
      <c r="AW170" s="34">
        <f t="shared" si="11"/>
        <v>0</v>
      </c>
      <c r="AX170" s="34">
        <f t="shared" si="12"/>
        <v>0</v>
      </c>
      <c r="AY170" s="33"/>
    </row>
    <row r="171" ht="15.75" customHeight="1">
      <c r="A171" s="38"/>
      <c r="B171" s="18"/>
      <c r="C171" s="29"/>
      <c r="D171" s="35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>
        <f t="shared" si="1"/>
        <v>0</v>
      </c>
      <c r="AK171" s="36">
        <f t="shared" si="2"/>
        <v>0</v>
      </c>
      <c r="AL171" s="36">
        <f t="shared" si="3"/>
        <v>0</v>
      </c>
      <c r="AM171" s="36">
        <f t="shared" si="4"/>
        <v>0</v>
      </c>
      <c r="AN171" s="36">
        <f t="shared" si="5"/>
        <v>0</v>
      </c>
      <c r="AO171" s="36">
        <f t="shared" si="6"/>
        <v>0</v>
      </c>
      <c r="AP171" s="36">
        <f t="shared" si="7"/>
        <v>0</v>
      </c>
      <c r="AQ171" s="36">
        <f t="shared" si="8"/>
        <v>0</v>
      </c>
      <c r="AR171" s="36">
        <v>1.0</v>
      </c>
      <c r="AS171" s="36">
        <f t="shared" si="9"/>
        <v>0</v>
      </c>
      <c r="AT171" s="36">
        <v>2.0</v>
      </c>
      <c r="AU171" s="36">
        <f t="shared" si="10"/>
        <v>0</v>
      </c>
      <c r="AV171" s="36">
        <v>2.0</v>
      </c>
      <c r="AW171" s="37">
        <f t="shared" si="11"/>
        <v>0</v>
      </c>
      <c r="AX171" s="37">
        <f t="shared" si="12"/>
        <v>0</v>
      </c>
      <c r="AY171" s="36"/>
    </row>
    <row r="172" ht="15.75" customHeight="1">
      <c r="A172" s="38"/>
      <c r="B172" s="24"/>
      <c r="C172" s="31"/>
      <c r="D172" s="32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>
        <f t="shared" si="1"/>
        <v>0</v>
      </c>
      <c r="AK172" s="33">
        <f t="shared" si="2"/>
        <v>0</v>
      </c>
      <c r="AL172" s="33">
        <f t="shared" si="3"/>
        <v>0</v>
      </c>
      <c r="AM172" s="33">
        <f t="shared" si="4"/>
        <v>0</v>
      </c>
      <c r="AN172" s="33">
        <f t="shared" si="5"/>
        <v>0</v>
      </c>
      <c r="AO172" s="33">
        <f t="shared" si="6"/>
        <v>0</v>
      </c>
      <c r="AP172" s="33">
        <f t="shared" si="7"/>
        <v>0</v>
      </c>
      <c r="AQ172" s="33">
        <f t="shared" si="8"/>
        <v>0</v>
      </c>
      <c r="AR172" s="33">
        <v>1.0</v>
      </c>
      <c r="AS172" s="33">
        <f t="shared" si="9"/>
        <v>0</v>
      </c>
      <c r="AT172" s="33">
        <v>2.0</v>
      </c>
      <c r="AU172" s="33">
        <f t="shared" si="10"/>
        <v>0</v>
      </c>
      <c r="AV172" s="33">
        <v>2.0</v>
      </c>
      <c r="AW172" s="34">
        <f t="shared" si="11"/>
        <v>0</v>
      </c>
      <c r="AX172" s="34">
        <f t="shared" si="12"/>
        <v>0</v>
      </c>
      <c r="AY172" s="33"/>
    </row>
    <row r="173" ht="15.75" customHeight="1">
      <c r="A173" s="38"/>
      <c r="B173" s="18"/>
      <c r="C173" s="29"/>
      <c r="D173" s="35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>
        <f t="shared" si="1"/>
        <v>0</v>
      </c>
      <c r="AK173" s="36">
        <f t="shared" si="2"/>
        <v>0</v>
      </c>
      <c r="AL173" s="36">
        <f t="shared" si="3"/>
        <v>0</v>
      </c>
      <c r="AM173" s="36">
        <f t="shared" si="4"/>
        <v>0</v>
      </c>
      <c r="AN173" s="36">
        <f t="shared" si="5"/>
        <v>0</v>
      </c>
      <c r="AO173" s="36">
        <f t="shared" si="6"/>
        <v>0</v>
      </c>
      <c r="AP173" s="36">
        <f t="shared" si="7"/>
        <v>0</v>
      </c>
      <c r="AQ173" s="36">
        <f t="shared" si="8"/>
        <v>0</v>
      </c>
      <c r="AR173" s="36">
        <v>1.0</v>
      </c>
      <c r="AS173" s="36">
        <f t="shared" si="9"/>
        <v>0</v>
      </c>
      <c r="AT173" s="36">
        <v>2.0</v>
      </c>
      <c r="AU173" s="36">
        <f t="shared" si="10"/>
        <v>0</v>
      </c>
      <c r="AV173" s="36">
        <v>2.0</v>
      </c>
      <c r="AW173" s="37">
        <f t="shared" si="11"/>
        <v>0</v>
      </c>
      <c r="AX173" s="37">
        <f t="shared" si="12"/>
        <v>0</v>
      </c>
      <c r="AY173" s="36"/>
    </row>
    <row r="174" ht="15.75" customHeight="1">
      <c r="A174" s="38"/>
      <c r="B174" s="24"/>
      <c r="C174" s="31"/>
      <c r="D174" s="32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>
        <f t="shared" si="1"/>
        <v>0</v>
      </c>
      <c r="AK174" s="33">
        <f t="shared" si="2"/>
        <v>0</v>
      </c>
      <c r="AL174" s="33">
        <f t="shared" si="3"/>
        <v>0</v>
      </c>
      <c r="AM174" s="33">
        <f t="shared" si="4"/>
        <v>0</v>
      </c>
      <c r="AN174" s="33">
        <f t="shared" si="5"/>
        <v>0</v>
      </c>
      <c r="AO174" s="33">
        <f t="shared" si="6"/>
        <v>0</v>
      </c>
      <c r="AP174" s="33">
        <f t="shared" si="7"/>
        <v>0</v>
      </c>
      <c r="AQ174" s="33">
        <f t="shared" si="8"/>
        <v>0</v>
      </c>
      <c r="AR174" s="33">
        <v>1.0</v>
      </c>
      <c r="AS174" s="33">
        <f t="shared" si="9"/>
        <v>0</v>
      </c>
      <c r="AT174" s="33">
        <v>2.0</v>
      </c>
      <c r="AU174" s="33">
        <f t="shared" si="10"/>
        <v>0</v>
      </c>
      <c r="AV174" s="33">
        <v>2.0</v>
      </c>
      <c r="AW174" s="34">
        <f t="shared" si="11"/>
        <v>0</v>
      </c>
      <c r="AX174" s="34">
        <f t="shared" si="12"/>
        <v>0</v>
      </c>
      <c r="AY174" s="33"/>
    </row>
    <row r="175" ht="15.75" customHeight="1">
      <c r="A175" s="38"/>
      <c r="B175" s="18"/>
      <c r="C175" s="29"/>
      <c r="D175" s="35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>
        <f t="shared" si="1"/>
        <v>0</v>
      </c>
      <c r="AK175" s="36">
        <f t="shared" si="2"/>
        <v>0</v>
      </c>
      <c r="AL175" s="36">
        <f t="shared" si="3"/>
        <v>0</v>
      </c>
      <c r="AM175" s="36">
        <f t="shared" si="4"/>
        <v>0</v>
      </c>
      <c r="AN175" s="36">
        <f t="shared" si="5"/>
        <v>0</v>
      </c>
      <c r="AO175" s="36">
        <f t="shared" si="6"/>
        <v>0</v>
      </c>
      <c r="AP175" s="36">
        <f t="shared" si="7"/>
        <v>0</v>
      </c>
      <c r="AQ175" s="36">
        <f t="shared" si="8"/>
        <v>0</v>
      </c>
      <c r="AR175" s="36">
        <v>1.0</v>
      </c>
      <c r="AS175" s="36">
        <f t="shared" si="9"/>
        <v>0</v>
      </c>
      <c r="AT175" s="36">
        <v>2.0</v>
      </c>
      <c r="AU175" s="36">
        <f t="shared" si="10"/>
        <v>0</v>
      </c>
      <c r="AV175" s="36">
        <v>2.0</v>
      </c>
      <c r="AW175" s="37">
        <f t="shared" si="11"/>
        <v>0</v>
      </c>
      <c r="AX175" s="37">
        <f t="shared" si="12"/>
        <v>0</v>
      </c>
      <c r="AY175" s="36"/>
    </row>
    <row r="176" ht="15.75" customHeight="1">
      <c r="A176" s="38"/>
      <c r="B176" s="24"/>
      <c r="C176" s="31"/>
      <c r="D176" s="32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>
        <f t="shared" si="1"/>
        <v>0</v>
      </c>
      <c r="AK176" s="33">
        <f t="shared" si="2"/>
        <v>0</v>
      </c>
      <c r="AL176" s="33">
        <f t="shared" si="3"/>
        <v>0</v>
      </c>
      <c r="AM176" s="33">
        <f t="shared" si="4"/>
        <v>0</v>
      </c>
      <c r="AN176" s="33">
        <f t="shared" si="5"/>
        <v>0</v>
      </c>
      <c r="AO176" s="33">
        <f t="shared" si="6"/>
        <v>0</v>
      </c>
      <c r="AP176" s="33">
        <f t="shared" si="7"/>
        <v>0</v>
      </c>
      <c r="AQ176" s="33">
        <f t="shared" si="8"/>
        <v>0</v>
      </c>
      <c r="AR176" s="33">
        <v>1.0</v>
      </c>
      <c r="AS176" s="33">
        <f t="shared" si="9"/>
        <v>0</v>
      </c>
      <c r="AT176" s="33">
        <v>2.0</v>
      </c>
      <c r="AU176" s="33">
        <f t="shared" si="10"/>
        <v>0</v>
      </c>
      <c r="AV176" s="33">
        <v>2.0</v>
      </c>
      <c r="AW176" s="34">
        <f t="shared" si="11"/>
        <v>0</v>
      </c>
      <c r="AX176" s="34">
        <f t="shared" si="12"/>
        <v>0</v>
      </c>
      <c r="AY176" s="33"/>
    </row>
    <row r="177" ht="15.75" customHeight="1">
      <c r="A177" s="38"/>
      <c r="B177" s="18"/>
      <c r="C177" s="29"/>
      <c r="D177" s="35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>
        <f t="shared" si="1"/>
        <v>0</v>
      </c>
      <c r="AK177" s="36">
        <f t="shared" si="2"/>
        <v>0</v>
      </c>
      <c r="AL177" s="36">
        <f t="shared" si="3"/>
        <v>0</v>
      </c>
      <c r="AM177" s="36">
        <f t="shared" si="4"/>
        <v>0</v>
      </c>
      <c r="AN177" s="36">
        <f t="shared" si="5"/>
        <v>0</v>
      </c>
      <c r="AO177" s="36">
        <f t="shared" si="6"/>
        <v>0</v>
      </c>
      <c r="AP177" s="36">
        <f t="shared" si="7"/>
        <v>0</v>
      </c>
      <c r="AQ177" s="36">
        <f t="shared" si="8"/>
        <v>0</v>
      </c>
      <c r="AR177" s="36">
        <v>1.0</v>
      </c>
      <c r="AS177" s="36">
        <f t="shared" si="9"/>
        <v>0</v>
      </c>
      <c r="AT177" s="36">
        <v>2.0</v>
      </c>
      <c r="AU177" s="36">
        <f t="shared" si="10"/>
        <v>0</v>
      </c>
      <c r="AV177" s="36">
        <v>2.0</v>
      </c>
      <c r="AW177" s="37">
        <f t="shared" si="11"/>
        <v>0</v>
      </c>
      <c r="AX177" s="37">
        <f t="shared" si="12"/>
        <v>0</v>
      </c>
      <c r="AY177" s="36"/>
    </row>
    <row r="178" ht="15.75" customHeight="1">
      <c r="A178" s="38"/>
      <c r="B178" s="24"/>
      <c r="C178" s="31"/>
      <c r="D178" s="32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>
        <f t="shared" si="1"/>
        <v>0</v>
      </c>
      <c r="AK178" s="33">
        <f t="shared" si="2"/>
        <v>0</v>
      </c>
      <c r="AL178" s="33">
        <f t="shared" si="3"/>
        <v>0</v>
      </c>
      <c r="AM178" s="33">
        <f t="shared" si="4"/>
        <v>0</v>
      </c>
      <c r="AN178" s="33">
        <f t="shared" si="5"/>
        <v>0</v>
      </c>
      <c r="AO178" s="33">
        <f t="shared" si="6"/>
        <v>0</v>
      </c>
      <c r="AP178" s="33">
        <f t="shared" si="7"/>
        <v>0</v>
      </c>
      <c r="AQ178" s="33">
        <f t="shared" si="8"/>
        <v>0</v>
      </c>
      <c r="AR178" s="33">
        <v>1.0</v>
      </c>
      <c r="AS178" s="33">
        <f t="shared" si="9"/>
        <v>0</v>
      </c>
      <c r="AT178" s="33">
        <v>2.0</v>
      </c>
      <c r="AU178" s="33">
        <f t="shared" si="10"/>
        <v>0</v>
      </c>
      <c r="AV178" s="33">
        <v>2.0</v>
      </c>
      <c r="AW178" s="34">
        <f t="shared" si="11"/>
        <v>0</v>
      </c>
      <c r="AX178" s="34">
        <f t="shared" si="12"/>
        <v>0</v>
      </c>
      <c r="AY178" s="33"/>
    </row>
    <row r="179" ht="15.75" customHeight="1">
      <c r="A179" s="38"/>
      <c r="B179" s="18"/>
      <c r="C179" s="29"/>
      <c r="D179" s="35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>
        <f t="shared" si="1"/>
        <v>0</v>
      </c>
      <c r="AK179" s="36">
        <f t="shared" si="2"/>
        <v>0</v>
      </c>
      <c r="AL179" s="36">
        <f t="shared" si="3"/>
        <v>0</v>
      </c>
      <c r="AM179" s="36">
        <f t="shared" si="4"/>
        <v>0</v>
      </c>
      <c r="AN179" s="36">
        <f t="shared" si="5"/>
        <v>0</v>
      </c>
      <c r="AO179" s="36">
        <f t="shared" si="6"/>
        <v>0</v>
      </c>
      <c r="AP179" s="36">
        <f t="shared" si="7"/>
        <v>0</v>
      </c>
      <c r="AQ179" s="36">
        <f t="shared" si="8"/>
        <v>0</v>
      </c>
      <c r="AR179" s="36">
        <v>1.0</v>
      </c>
      <c r="AS179" s="36">
        <f t="shared" si="9"/>
        <v>0</v>
      </c>
      <c r="AT179" s="36">
        <v>2.0</v>
      </c>
      <c r="AU179" s="36">
        <f t="shared" si="10"/>
        <v>0</v>
      </c>
      <c r="AV179" s="36">
        <v>2.0</v>
      </c>
      <c r="AW179" s="37">
        <f t="shared" si="11"/>
        <v>0</v>
      </c>
      <c r="AX179" s="37">
        <f t="shared" si="12"/>
        <v>0</v>
      </c>
      <c r="AY179" s="36"/>
    </row>
    <row r="180" ht="15.75" customHeight="1">
      <c r="A180" s="38"/>
      <c r="B180" s="24"/>
      <c r="C180" s="31"/>
      <c r="D180" s="32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>
        <f t="shared" si="1"/>
        <v>0</v>
      </c>
      <c r="AK180" s="33">
        <f t="shared" si="2"/>
        <v>0</v>
      </c>
      <c r="AL180" s="33">
        <f t="shared" si="3"/>
        <v>0</v>
      </c>
      <c r="AM180" s="33">
        <f t="shared" si="4"/>
        <v>0</v>
      </c>
      <c r="AN180" s="33">
        <f t="shared" si="5"/>
        <v>0</v>
      </c>
      <c r="AO180" s="33">
        <f t="shared" si="6"/>
        <v>0</v>
      </c>
      <c r="AP180" s="33">
        <f t="shared" si="7"/>
        <v>0</v>
      </c>
      <c r="AQ180" s="33">
        <f t="shared" si="8"/>
        <v>0</v>
      </c>
      <c r="AR180" s="33">
        <v>1.0</v>
      </c>
      <c r="AS180" s="33">
        <f t="shared" si="9"/>
        <v>0</v>
      </c>
      <c r="AT180" s="33">
        <v>2.0</v>
      </c>
      <c r="AU180" s="33">
        <f t="shared" si="10"/>
        <v>0</v>
      </c>
      <c r="AV180" s="33">
        <v>2.0</v>
      </c>
      <c r="AW180" s="34">
        <f t="shared" si="11"/>
        <v>0</v>
      </c>
      <c r="AX180" s="34">
        <f t="shared" si="12"/>
        <v>0</v>
      </c>
      <c r="AY180" s="33"/>
    </row>
    <row r="181" ht="15.75" customHeight="1">
      <c r="A181" s="38"/>
      <c r="B181" s="18"/>
      <c r="C181" s="29"/>
      <c r="D181" s="35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>
        <f t="shared" si="1"/>
        <v>0</v>
      </c>
      <c r="AK181" s="36">
        <f t="shared" si="2"/>
        <v>0</v>
      </c>
      <c r="AL181" s="36">
        <f t="shared" si="3"/>
        <v>0</v>
      </c>
      <c r="AM181" s="36">
        <f t="shared" si="4"/>
        <v>0</v>
      </c>
      <c r="AN181" s="36">
        <f t="shared" si="5"/>
        <v>0</v>
      </c>
      <c r="AO181" s="36">
        <f t="shared" si="6"/>
        <v>0</v>
      </c>
      <c r="AP181" s="36">
        <f t="shared" si="7"/>
        <v>0</v>
      </c>
      <c r="AQ181" s="36">
        <f t="shared" si="8"/>
        <v>0</v>
      </c>
      <c r="AR181" s="36">
        <v>1.0</v>
      </c>
      <c r="AS181" s="36">
        <f t="shared" si="9"/>
        <v>0</v>
      </c>
      <c r="AT181" s="36">
        <v>2.0</v>
      </c>
      <c r="AU181" s="36">
        <f t="shared" si="10"/>
        <v>0</v>
      </c>
      <c r="AV181" s="36">
        <v>2.0</v>
      </c>
      <c r="AW181" s="37">
        <f t="shared" si="11"/>
        <v>0</v>
      </c>
      <c r="AX181" s="37">
        <f t="shared" si="12"/>
        <v>0</v>
      </c>
      <c r="AY181" s="36"/>
    </row>
    <row r="182" ht="15.75" customHeight="1">
      <c r="A182" s="38"/>
      <c r="B182" s="24"/>
      <c r="C182" s="31"/>
      <c r="D182" s="32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>
        <f t="shared" si="1"/>
        <v>0</v>
      </c>
      <c r="AK182" s="33">
        <f t="shared" si="2"/>
        <v>0</v>
      </c>
      <c r="AL182" s="33">
        <f t="shared" si="3"/>
        <v>0</v>
      </c>
      <c r="AM182" s="33">
        <f t="shared" si="4"/>
        <v>0</v>
      </c>
      <c r="AN182" s="33">
        <f t="shared" si="5"/>
        <v>0</v>
      </c>
      <c r="AO182" s="33">
        <f t="shared" si="6"/>
        <v>0</v>
      </c>
      <c r="AP182" s="33">
        <f t="shared" si="7"/>
        <v>0</v>
      </c>
      <c r="AQ182" s="33">
        <f t="shared" si="8"/>
        <v>0</v>
      </c>
      <c r="AR182" s="33">
        <v>1.0</v>
      </c>
      <c r="AS182" s="33">
        <f t="shared" si="9"/>
        <v>0</v>
      </c>
      <c r="AT182" s="33">
        <v>2.0</v>
      </c>
      <c r="AU182" s="33">
        <f t="shared" si="10"/>
        <v>0</v>
      </c>
      <c r="AV182" s="33">
        <v>2.0</v>
      </c>
      <c r="AW182" s="34">
        <f t="shared" si="11"/>
        <v>0</v>
      </c>
      <c r="AX182" s="34">
        <f t="shared" si="12"/>
        <v>0</v>
      </c>
      <c r="AY182" s="33"/>
    </row>
    <row r="183" ht="15.75" customHeight="1">
      <c r="A183" s="38"/>
      <c r="B183" s="18"/>
      <c r="C183" s="29"/>
      <c r="D183" s="35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>
        <f t="shared" si="1"/>
        <v>0</v>
      </c>
      <c r="AK183" s="36">
        <f t="shared" si="2"/>
        <v>0</v>
      </c>
      <c r="AL183" s="36">
        <f t="shared" si="3"/>
        <v>0</v>
      </c>
      <c r="AM183" s="36">
        <f t="shared" si="4"/>
        <v>0</v>
      </c>
      <c r="AN183" s="36">
        <f t="shared" si="5"/>
        <v>0</v>
      </c>
      <c r="AO183" s="36">
        <f t="shared" si="6"/>
        <v>0</v>
      </c>
      <c r="AP183" s="36">
        <f t="shared" si="7"/>
        <v>0</v>
      </c>
      <c r="AQ183" s="36">
        <f t="shared" si="8"/>
        <v>0</v>
      </c>
      <c r="AR183" s="36">
        <v>1.0</v>
      </c>
      <c r="AS183" s="36">
        <f t="shared" si="9"/>
        <v>0</v>
      </c>
      <c r="AT183" s="36">
        <v>2.0</v>
      </c>
      <c r="AU183" s="36">
        <f t="shared" si="10"/>
        <v>0</v>
      </c>
      <c r="AV183" s="36">
        <v>2.0</v>
      </c>
      <c r="AW183" s="37">
        <f t="shared" si="11"/>
        <v>0</v>
      </c>
      <c r="AX183" s="37">
        <f t="shared" si="12"/>
        <v>0</v>
      </c>
      <c r="AY183" s="36"/>
    </row>
    <row r="184" ht="15.75" customHeight="1">
      <c r="A184" s="38"/>
      <c r="B184" s="24"/>
      <c r="C184" s="31"/>
      <c r="D184" s="32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>
        <f t="shared" si="1"/>
        <v>0</v>
      </c>
      <c r="AK184" s="33">
        <f t="shared" si="2"/>
        <v>0</v>
      </c>
      <c r="AL184" s="33">
        <f t="shared" si="3"/>
        <v>0</v>
      </c>
      <c r="AM184" s="33">
        <f t="shared" si="4"/>
        <v>0</v>
      </c>
      <c r="AN184" s="33">
        <f t="shared" si="5"/>
        <v>0</v>
      </c>
      <c r="AO184" s="33">
        <f t="shared" si="6"/>
        <v>0</v>
      </c>
      <c r="AP184" s="33">
        <f t="shared" si="7"/>
        <v>0</v>
      </c>
      <c r="AQ184" s="33">
        <f t="shared" si="8"/>
        <v>0</v>
      </c>
      <c r="AR184" s="33">
        <v>1.0</v>
      </c>
      <c r="AS184" s="33">
        <f t="shared" si="9"/>
        <v>0</v>
      </c>
      <c r="AT184" s="33">
        <v>2.0</v>
      </c>
      <c r="AU184" s="33">
        <f t="shared" si="10"/>
        <v>0</v>
      </c>
      <c r="AV184" s="33">
        <v>2.0</v>
      </c>
      <c r="AW184" s="34">
        <f t="shared" si="11"/>
        <v>0</v>
      </c>
      <c r="AX184" s="34">
        <f t="shared" si="12"/>
        <v>0</v>
      </c>
      <c r="AY184" s="33"/>
    </row>
    <row r="185" ht="15.75" customHeight="1">
      <c r="A185" s="38"/>
      <c r="B185" s="18"/>
      <c r="C185" s="29"/>
      <c r="D185" s="3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>
        <f t="shared" si="1"/>
        <v>0</v>
      </c>
      <c r="AK185" s="36">
        <f t="shared" si="2"/>
        <v>0</v>
      </c>
      <c r="AL185" s="36">
        <f t="shared" si="3"/>
        <v>0</v>
      </c>
      <c r="AM185" s="36">
        <f t="shared" si="4"/>
        <v>0</v>
      </c>
      <c r="AN185" s="36">
        <f t="shared" si="5"/>
        <v>0</v>
      </c>
      <c r="AO185" s="36">
        <f t="shared" si="6"/>
        <v>0</v>
      </c>
      <c r="AP185" s="36">
        <f t="shared" si="7"/>
        <v>0</v>
      </c>
      <c r="AQ185" s="36">
        <f t="shared" si="8"/>
        <v>0</v>
      </c>
      <c r="AR185" s="36">
        <v>1.0</v>
      </c>
      <c r="AS185" s="36">
        <f t="shared" si="9"/>
        <v>0</v>
      </c>
      <c r="AT185" s="36">
        <v>2.0</v>
      </c>
      <c r="AU185" s="36">
        <f t="shared" si="10"/>
        <v>0</v>
      </c>
      <c r="AV185" s="36">
        <v>2.0</v>
      </c>
      <c r="AW185" s="37">
        <f t="shared" si="11"/>
        <v>0</v>
      </c>
      <c r="AX185" s="37">
        <f t="shared" si="12"/>
        <v>0</v>
      </c>
      <c r="AY185" s="36"/>
    </row>
    <row r="186" ht="15.75" customHeight="1">
      <c r="A186" s="38"/>
      <c r="B186" s="24"/>
      <c r="C186" s="31"/>
      <c r="D186" s="32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>
        <f t="shared" si="1"/>
        <v>0</v>
      </c>
      <c r="AK186" s="33">
        <f t="shared" si="2"/>
        <v>0</v>
      </c>
      <c r="AL186" s="33">
        <f t="shared" si="3"/>
        <v>0</v>
      </c>
      <c r="AM186" s="33">
        <f t="shared" si="4"/>
        <v>0</v>
      </c>
      <c r="AN186" s="33">
        <f t="shared" si="5"/>
        <v>0</v>
      </c>
      <c r="AO186" s="33">
        <f t="shared" si="6"/>
        <v>0</v>
      </c>
      <c r="AP186" s="33">
        <f t="shared" si="7"/>
        <v>0</v>
      </c>
      <c r="AQ186" s="33">
        <f t="shared" si="8"/>
        <v>0</v>
      </c>
      <c r="AR186" s="33">
        <v>1.0</v>
      </c>
      <c r="AS186" s="33">
        <f t="shared" si="9"/>
        <v>0</v>
      </c>
      <c r="AT186" s="33">
        <v>2.0</v>
      </c>
      <c r="AU186" s="33">
        <f t="shared" si="10"/>
        <v>0</v>
      </c>
      <c r="AV186" s="33">
        <v>2.0</v>
      </c>
      <c r="AW186" s="34">
        <f t="shared" si="11"/>
        <v>0</v>
      </c>
      <c r="AX186" s="34">
        <f t="shared" si="12"/>
        <v>0</v>
      </c>
      <c r="AY186" s="33"/>
    </row>
    <row r="187" ht="15.75" customHeight="1">
      <c r="A187" s="38"/>
      <c r="B187" s="18"/>
      <c r="C187" s="29"/>
      <c r="D187" s="35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>
        <f t="shared" si="1"/>
        <v>0</v>
      </c>
      <c r="AK187" s="36">
        <f t="shared" si="2"/>
        <v>0</v>
      </c>
      <c r="AL187" s="36">
        <f t="shared" si="3"/>
        <v>0</v>
      </c>
      <c r="AM187" s="36">
        <f t="shared" si="4"/>
        <v>0</v>
      </c>
      <c r="AN187" s="36">
        <f t="shared" si="5"/>
        <v>0</v>
      </c>
      <c r="AO187" s="36">
        <f t="shared" si="6"/>
        <v>0</v>
      </c>
      <c r="AP187" s="36">
        <f t="shared" si="7"/>
        <v>0</v>
      </c>
      <c r="AQ187" s="36">
        <f t="shared" si="8"/>
        <v>0</v>
      </c>
      <c r="AR187" s="36">
        <v>1.0</v>
      </c>
      <c r="AS187" s="36">
        <f t="shared" si="9"/>
        <v>0</v>
      </c>
      <c r="AT187" s="36">
        <v>2.0</v>
      </c>
      <c r="AU187" s="36">
        <f t="shared" si="10"/>
        <v>0</v>
      </c>
      <c r="AV187" s="36">
        <v>2.0</v>
      </c>
      <c r="AW187" s="37">
        <f t="shared" si="11"/>
        <v>0</v>
      </c>
      <c r="AX187" s="37">
        <f t="shared" si="12"/>
        <v>0</v>
      </c>
      <c r="AY187" s="36"/>
    </row>
    <row r="188" ht="15.75" customHeight="1">
      <c r="A188" s="38"/>
      <c r="B188" s="24"/>
      <c r="C188" s="31"/>
      <c r="D188" s="32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>
        <f t="shared" si="1"/>
        <v>0</v>
      </c>
      <c r="AK188" s="33">
        <f t="shared" si="2"/>
        <v>0</v>
      </c>
      <c r="AL188" s="33">
        <f t="shared" si="3"/>
        <v>0</v>
      </c>
      <c r="AM188" s="33">
        <f t="shared" si="4"/>
        <v>0</v>
      </c>
      <c r="AN188" s="33">
        <f t="shared" si="5"/>
        <v>0</v>
      </c>
      <c r="AO188" s="33">
        <f t="shared" si="6"/>
        <v>0</v>
      </c>
      <c r="AP188" s="33">
        <f t="shared" si="7"/>
        <v>0</v>
      </c>
      <c r="AQ188" s="33">
        <f t="shared" si="8"/>
        <v>0</v>
      </c>
      <c r="AR188" s="33">
        <v>1.0</v>
      </c>
      <c r="AS188" s="33">
        <f t="shared" si="9"/>
        <v>0</v>
      </c>
      <c r="AT188" s="33">
        <v>2.0</v>
      </c>
      <c r="AU188" s="33">
        <f t="shared" si="10"/>
        <v>0</v>
      </c>
      <c r="AV188" s="33">
        <v>2.0</v>
      </c>
      <c r="AW188" s="34">
        <f t="shared" si="11"/>
        <v>0</v>
      </c>
      <c r="AX188" s="34">
        <f t="shared" si="12"/>
        <v>0</v>
      </c>
      <c r="AY188" s="33"/>
    </row>
    <row r="189" ht="15.75" customHeight="1">
      <c r="A189" s="38"/>
      <c r="B189" s="18"/>
      <c r="C189" s="29"/>
      <c r="D189" s="35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>
        <f t="shared" si="1"/>
        <v>0</v>
      </c>
      <c r="AK189" s="36">
        <f t="shared" si="2"/>
        <v>0</v>
      </c>
      <c r="AL189" s="36">
        <f t="shared" si="3"/>
        <v>0</v>
      </c>
      <c r="AM189" s="36">
        <f t="shared" si="4"/>
        <v>0</v>
      </c>
      <c r="AN189" s="36">
        <f t="shared" si="5"/>
        <v>0</v>
      </c>
      <c r="AO189" s="36">
        <f t="shared" si="6"/>
        <v>0</v>
      </c>
      <c r="AP189" s="36">
        <f t="shared" si="7"/>
        <v>0</v>
      </c>
      <c r="AQ189" s="36">
        <f t="shared" si="8"/>
        <v>0</v>
      </c>
      <c r="AR189" s="36">
        <v>1.0</v>
      </c>
      <c r="AS189" s="36">
        <f t="shared" si="9"/>
        <v>0</v>
      </c>
      <c r="AT189" s="36">
        <v>2.0</v>
      </c>
      <c r="AU189" s="36">
        <f t="shared" si="10"/>
        <v>0</v>
      </c>
      <c r="AV189" s="36">
        <v>2.0</v>
      </c>
      <c r="AW189" s="37">
        <f t="shared" si="11"/>
        <v>0</v>
      </c>
      <c r="AX189" s="37">
        <f t="shared" si="12"/>
        <v>0</v>
      </c>
      <c r="AY189" s="36"/>
    </row>
    <row r="190" ht="15.75" customHeight="1">
      <c r="A190" s="38"/>
      <c r="B190" s="24"/>
      <c r="C190" s="31"/>
      <c r="D190" s="32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>
        <f t="shared" si="1"/>
        <v>0</v>
      </c>
      <c r="AK190" s="33">
        <f t="shared" si="2"/>
        <v>0</v>
      </c>
      <c r="AL190" s="33">
        <f t="shared" si="3"/>
        <v>0</v>
      </c>
      <c r="AM190" s="33">
        <f t="shared" si="4"/>
        <v>0</v>
      </c>
      <c r="AN190" s="33">
        <f t="shared" si="5"/>
        <v>0</v>
      </c>
      <c r="AO190" s="33">
        <f t="shared" si="6"/>
        <v>0</v>
      </c>
      <c r="AP190" s="33">
        <f t="shared" si="7"/>
        <v>0</v>
      </c>
      <c r="AQ190" s="33">
        <f t="shared" si="8"/>
        <v>0</v>
      </c>
      <c r="AR190" s="33">
        <v>1.0</v>
      </c>
      <c r="AS190" s="33">
        <f t="shared" si="9"/>
        <v>0</v>
      </c>
      <c r="AT190" s="33">
        <v>2.0</v>
      </c>
      <c r="AU190" s="33">
        <f t="shared" si="10"/>
        <v>0</v>
      </c>
      <c r="AV190" s="33">
        <v>2.0</v>
      </c>
      <c r="AW190" s="34">
        <f t="shared" si="11"/>
        <v>0</v>
      </c>
      <c r="AX190" s="34">
        <f t="shared" si="12"/>
        <v>0</v>
      </c>
      <c r="AY190" s="33"/>
    </row>
    <row r="191" ht="15.75" customHeight="1">
      <c r="A191" s="38"/>
      <c r="B191" s="18"/>
      <c r="C191" s="29"/>
      <c r="D191" s="35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>
        <f t="shared" si="1"/>
        <v>0</v>
      </c>
      <c r="AK191" s="36">
        <f t="shared" si="2"/>
        <v>0</v>
      </c>
      <c r="AL191" s="36">
        <f t="shared" si="3"/>
        <v>0</v>
      </c>
      <c r="AM191" s="36">
        <f t="shared" si="4"/>
        <v>0</v>
      </c>
      <c r="AN191" s="36">
        <f t="shared" si="5"/>
        <v>0</v>
      </c>
      <c r="AO191" s="36">
        <f t="shared" si="6"/>
        <v>0</v>
      </c>
      <c r="AP191" s="36">
        <f t="shared" si="7"/>
        <v>0</v>
      </c>
      <c r="AQ191" s="36">
        <f t="shared" si="8"/>
        <v>0</v>
      </c>
      <c r="AR191" s="36">
        <v>1.0</v>
      </c>
      <c r="AS191" s="36">
        <f t="shared" si="9"/>
        <v>0</v>
      </c>
      <c r="AT191" s="36">
        <v>2.0</v>
      </c>
      <c r="AU191" s="36">
        <f t="shared" si="10"/>
        <v>0</v>
      </c>
      <c r="AV191" s="36">
        <v>2.0</v>
      </c>
      <c r="AW191" s="37">
        <f t="shared" si="11"/>
        <v>0</v>
      </c>
      <c r="AX191" s="37">
        <f t="shared" si="12"/>
        <v>0</v>
      </c>
      <c r="AY191" s="36"/>
    </row>
    <row r="192" ht="15.75" customHeight="1">
      <c r="A192" s="38"/>
      <c r="B192" s="24"/>
      <c r="C192" s="31"/>
      <c r="D192" s="32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>
        <f t="shared" si="1"/>
        <v>0</v>
      </c>
      <c r="AK192" s="33">
        <f t="shared" si="2"/>
        <v>0</v>
      </c>
      <c r="AL192" s="33">
        <f t="shared" si="3"/>
        <v>0</v>
      </c>
      <c r="AM192" s="33">
        <f t="shared" si="4"/>
        <v>0</v>
      </c>
      <c r="AN192" s="33">
        <f t="shared" si="5"/>
        <v>0</v>
      </c>
      <c r="AO192" s="33">
        <f t="shared" si="6"/>
        <v>0</v>
      </c>
      <c r="AP192" s="33">
        <f t="shared" si="7"/>
        <v>0</v>
      </c>
      <c r="AQ192" s="33">
        <f t="shared" si="8"/>
        <v>0</v>
      </c>
      <c r="AR192" s="33">
        <v>1.0</v>
      </c>
      <c r="AS192" s="33">
        <f t="shared" si="9"/>
        <v>0</v>
      </c>
      <c r="AT192" s="33">
        <v>2.0</v>
      </c>
      <c r="AU192" s="33">
        <f t="shared" si="10"/>
        <v>0</v>
      </c>
      <c r="AV192" s="33">
        <v>2.0</v>
      </c>
      <c r="AW192" s="34">
        <f t="shared" si="11"/>
        <v>0</v>
      </c>
      <c r="AX192" s="34">
        <f t="shared" si="12"/>
        <v>0</v>
      </c>
      <c r="AY192" s="33"/>
    </row>
    <row r="193" ht="15.75" customHeight="1">
      <c r="A193" s="38"/>
      <c r="B193" s="18"/>
      <c r="C193" s="29"/>
      <c r="D193" s="3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>
        <f t="shared" si="1"/>
        <v>0</v>
      </c>
      <c r="AK193" s="36">
        <f t="shared" si="2"/>
        <v>0</v>
      </c>
      <c r="AL193" s="36">
        <f t="shared" si="3"/>
        <v>0</v>
      </c>
      <c r="AM193" s="36">
        <f t="shared" si="4"/>
        <v>0</v>
      </c>
      <c r="AN193" s="36">
        <f t="shared" si="5"/>
        <v>0</v>
      </c>
      <c r="AO193" s="36">
        <f t="shared" si="6"/>
        <v>0</v>
      </c>
      <c r="AP193" s="36">
        <f t="shared" si="7"/>
        <v>0</v>
      </c>
      <c r="AQ193" s="36">
        <f t="shared" si="8"/>
        <v>0</v>
      </c>
      <c r="AR193" s="36">
        <v>1.0</v>
      </c>
      <c r="AS193" s="36">
        <f t="shared" si="9"/>
        <v>0</v>
      </c>
      <c r="AT193" s="36">
        <v>2.0</v>
      </c>
      <c r="AU193" s="36">
        <f t="shared" si="10"/>
        <v>0</v>
      </c>
      <c r="AV193" s="36">
        <v>2.0</v>
      </c>
      <c r="AW193" s="37">
        <f t="shared" si="11"/>
        <v>0</v>
      </c>
      <c r="AX193" s="37">
        <f t="shared" si="12"/>
        <v>0</v>
      </c>
      <c r="AY193" s="36"/>
    </row>
    <row r="194" ht="15.75" customHeight="1">
      <c r="A194" s="38"/>
      <c r="B194" s="24"/>
      <c r="C194" s="31"/>
      <c r="D194" s="32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>
        <f t="shared" si="1"/>
        <v>0</v>
      </c>
      <c r="AK194" s="33">
        <f t="shared" si="2"/>
        <v>0</v>
      </c>
      <c r="AL194" s="33">
        <f t="shared" si="3"/>
        <v>0</v>
      </c>
      <c r="AM194" s="33">
        <f t="shared" si="4"/>
        <v>0</v>
      </c>
      <c r="AN194" s="33">
        <f t="shared" si="5"/>
        <v>0</v>
      </c>
      <c r="AO194" s="33">
        <f t="shared" si="6"/>
        <v>0</v>
      </c>
      <c r="AP194" s="33">
        <f t="shared" si="7"/>
        <v>0</v>
      </c>
      <c r="AQ194" s="33">
        <f t="shared" si="8"/>
        <v>0</v>
      </c>
      <c r="AR194" s="33">
        <v>1.0</v>
      </c>
      <c r="AS194" s="33">
        <f t="shared" si="9"/>
        <v>0</v>
      </c>
      <c r="AT194" s="33">
        <v>2.0</v>
      </c>
      <c r="AU194" s="33">
        <f t="shared" si="10"/>
        <v>0</v>
      </c>
      <c r="AV194" s="33">
        <v>2.0</v>
      </c>
      <c r="AW194" s="34">
        <f t="shared" si="11"/>
        <v>0</v>
      </c>
      <c r="AX194" s="34">
        <f t="shared" si="12"/>
        <v>0</v>
      </c>
      <c r="AY194" s="33"/>
    </row>
    <row r="195" ht="15.75" customHeight="1">
      <c r="A195" s="38"/>
      <c r="B195" s="18"/>
      <c r="C195" s="29"/>
      <c r="D195" s="35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>
        <f t="shared" si="1"/>
        <v>0</v>
      </c>
      <c r="AK195" s="36">
        <f t="shared" si="2"/>
        <v>0</v>
      </c>
      <c r="AL195" s="36">
        <f t="shared" si="3"/>
        <v>0</v>
      </c>
      <c r="AM195" s="36">
        <f t="shared" si="4"/>
        <v>0</v>
      </c>
      <c r="AN195" s="36">
        <f t="shared" si="5"/>
        <v>0</v>
      </c>
      <c r="AO195" s="36">
        <f t="shared" si="6"/>
        <v>0</v>
      </c>
      <c r="AP195" s="36">
        <f t="shared" si="7"/>
        <v>0</v>
      </c>
      <c r="AQ195" s="36">
        <f t="shared" si="8"/>
        <v>0</v>
      </c>
      <c r="AR195" s="36">
        <v>1.0</v>
      </c>
      <c r="AS195" s="36">
        <f t="shared" si="9"/>
        <v>0</v>
      </c>
      <c r="AT195" s="36">
        <v>2.0</v>
      </c>
      <c r="AU195" s="36">
        <f t="shared" si="10"/>
        <v>0</v>
      </c>
      <c r="AV195" s="36">
        <v>2.0</v>
      </c>
      <c r="AW195" s="37">
        <f t="shared" si="11"/>
        <v>0</v>
      </c>
      <c r="AX195" s="37">
        <f t="shared" si="12"/>
        <v>0</v>
      </c>
      <c r="AY195" s="36"/>
    </row>
    <row r="196" ht="15.75" customHeight="1">
      <c r="A196" s="38"/>
      <c r="B196" s="24"/>
      <c r="C196" s="31"/>
      <c r="D196" s="32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>
        <f t="shared" si="1"/>
        <v>0</v>
      </c>
      <c r="AK196" s="33">
        <f t="shared" si="2"/>
        <v>0</v>
      </c>
      <c r="AL196" s="33">
        <f t="shared" si="3"/>
        <v>0</v>
      </c>
      <c r="AM196" s="33">
        <f t="shared" si="4"/>
        <v>0</v>
      </c>
      <c r="AN196" s="33">
        <f t="shared" si="5"/>
        <v>0</v>
      </c>
      <c r="AO196" s="33">
        <f t="shared" si="6"/>
        <v>0</v>
      </c>
      <c r="AP196" s="33">
        <f t="shared" si="7"/>
        <v>0</v>
      </c>
      <c r="AQ196" s="33">
        <f t="shared" si="8"/>
        <v>0</v>
      </c>
      <c r="AR196" s="33">
        <v>1.0</v>
      </c>
      <c r="AS196" s="33">
        <f t="shared" si="9"/>
        <v>0</v>
      </c>
      <c r="AT196" s="33">
        <v>2.0</v>
      </c>
      <c r="AU196" s="33">
        <f t="shared" si="10"/>
        <v>0</v>
      </c>
      <c r="AV196" s="33">
        <v>2.0</v>
      </c>
      <c r="AW196" s="34">
        <f t="shared" si="11"/>
        <v>0</v>
      </c>
      <c r="AX196" s="34">
        <f t="shared" si="12"/>
        <v>0</v>
      </c>
      <c r="AY196" s="33"/>
    </row>
    <row r="197" ht="15.75" customHeight="1">
      <c r="A197" s="38"/>
      <c r="B197" s="18"/>
      <c r="C197" s="29"/>
      <c r="D197" s="35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>
        <f t="shared" si="1"/>
        <v>0</v>
      </c>
      <c r="AK197" s="36">
        <f t="shared" si="2"/>
        <v>0</v>
      </c>
      <c r="AL197" s="36">
        <f t="shared" si="3"/>
        <v>0</v>
      </c>
      <c r="AM197" s="36">
        <f t="shared" si="4"/>
        <v>0</v>
      </c>
      <c r="AN197" s="36">
        <f t="shared" si="5"/>
        <v>0</v>
      </c>
      <c r="AO197" s="36">
        <f t="shared" si="6"/>
        <v>0</v>
      </c>
      <c r="AP197" s="36">
        <f t="shared" si="7"/>
        <v>0</v>
      </c>
      <c r="AQ197" s="36">
        <f t="shared" si="8"/>
        <v>0</v>
      </c>
      <c r="AR197" s="36">
        <v>1.0</v>
      </c>
      <c r="AS197" s="36">
        <f t="shared" si="9"/>
        <v>0</v>
      </c>
      <c r="AT197" s="36">
        <v>2.0</v>
      </c>
      <c r="AU197" s="36">
        <f t="shared" si="10"/>
        <v>0</v>
      </c>
      <c r="AV197" s="36">
        <v>2.0</v>
      </c>
      <c r="AW197" s="37">
        <f t="shared" si="11"/>
        <v>0</v>
      </c>
      <c r="AX197" s="37">
        <f t="shared" si="12"/>
        <v>0</v>
      </c>
      <c r="AY197" s="36"/>
    </row>
    <row r="198" ht="15.75" customHeight="1">
      <c r="A198" s="38"/>
      <c r="B198" s="24"/>
      <c r="C198" s="31"/>
      <c r="D198" s="32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>
        <f t="shared" si="1"/>
        <v>0</v>
      </c>
      <c r="AK198" s="33">
        <f t="shared" si="2"/>
        <v>0</v>
      </c>
      <c r="AL198" s="33">
        <f t="shared" si="3"/>
        <v>0</v>
      </c>
      <c r="AM198" s="33">
        <f t="shared" si="4"/>
        <v>0</v>
      </c>
      <c r="AN198" s="33">
        <f t="shared" si="5"/>
        <v>0</v>
      </c>
      <c r="AO198" s="33">
        <f t="shared" si="6"/>
        <v>0</v>
      </c>
      <c r="AP198" s="33">
        <f t="shared" si="7"/>
        <v>0</v>
      </c>
      <c r="AQ198" s="33">
        <f t="shared" si="8"/>
        <v>0</v>
      </c>
      <c r="AR198" s="33">
        <v>1.0</v>
      </c>
      <c r="AS198" s="33">
        <f t="shared" si="9"/>
        <v>0</v>
      </c>
      <c r="AT198" s="33">
        <v>2.0</v>
      </c>
      <c r="AU198" s="33">
        <f t="shared" si="10"/>
        <v>0</v>
      </c>
      <c r="AV198" s="33">
        <v>2.0</v>
      </c>
      <c r="AW198" s="34">
        <f t="shared" si="11"/>
        <v>0</v>
      </c>
      <c r="AX198" s="34">
        <f t="shared" si="12"/>
        <v>0</v>
      </c>
      <c r="AY198" s="33"/>
    </row>
    <row r="199" ht="15.75" customHeight="1">
      <c r="A199" s="38"/>
      <c r="B199" s="18"/>
      <c r="C199" s="29"/>
      <c r="D199" s="35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>
        <f t="shared" si="1"/>
        <v>0</v>
      </c>
      <c r="AK199" s="36">
        <f t="shared" si="2"/>
        <v>0</v>
      </c>
      <c r="AL199" s="36">
        <f t="shared" si="3"/>
        <v>0</v>
      </c>
      <c r="AM199" s="36">
        <f t="shared" si="4"/>
        <v>0</v>
      </c>
      <c r="AN199" s="36">
        <f t="shared" si="5"/>
        <v>0</v>
      </c>
      <c r="AO199" s="36">
        <f t="shared" si="6"/>
        <v>0</v>
      </c>
      <c r="AP199" s="36">
        <f t="shared" si="7"/>
        <v>0</v>
      </c>
      <c r="AQ199" s="36">
        <f t="shared" si="8"/>
        <v>0</v>
      </c>
      <c r="AR199" s="36">
        <v>1.0</v>
      </c>
      <c r="AS199" s="36">
        <f t="shared" si="9"/>
        <v>0</v>
      </c>
      <c r="AT199" s="36">
        <v>2.0</v>
      </c>
      <c r="AU199" s="36">
        <f t="shared" si="10"/>
        <v>0</v>
      </c>
      <c r="AV199" s="36">
        <v>2.0</v>
      </c>
      <c r="AW199" s="37">
        <f t="shared" si="11"/>
        <v>0</v>
      </c>
      <c r="AX199" s="37">
        <f t="shared" si="12"/>
        <v>0</v>
      </c>
      <c r="AY199" s="36"/>
    </row>
    <row r="200" ht="15.75" customHeight="1">
      <c r="A200" s="38"/>
      <c r="B200" s="24"/>
      <c r="C200" s="31"/>
      <c r="D200" s="32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>
        <f t="shared" si="1"/>
        <v>0</v>
      </c>
      <c r="AK200" s="33">
        <f t="shared" si="2"/>
        <v>0</v>
      </c>
      <c r="AL200" s="33">
        <f t="shared" si="3"/>
        <v>0</v>
      </c>
      <c r="AM200" s="33">
        <f t="shared" si="4"/>
        <v>0</v>
      </c>
      <c r="AN200" s="33">
        <f t="shared" si="5"/>
        <v>0</v>
      </c>
      <c r="AO200" s="33">
        <f t="shared" si="6"/>
        <v>0</v>
      </c>
      <c r="AP200" s="33">
        <f t="shared" si="7"/>
        <v>0</v>
      </c>
      <c r="AQ200" s="33">
        <f t="shared" si="8"/>
        <v>0</v>
      </c>
      <c r="AR200" s="33">
        <v>1.0</v>
      </c>
      <c r="AS200" s="33">
        <f t="shared" si="9"/>
        <v>0</v>
      </c>
      <c r="AT200" s="33">
        <v>2.0</v>
      </c>
      <c r="AU200" s="33">
        <f t="shared" si="10"/>
        <v>0</v>
      </c>
      <c r="AV200" s="33">
        <v>2.0</v>
      </c>
      <c r="AW200" s="34">
        <f t="shared" si="11"/>
        <v>0</v>
      </c>
      <c r="AX200" s="34">
        <f t="shared" si="12"/>
        <v>0</v>
      </c>
      <c r="AY200" s="33"/>
    </row>
    <row r="201" ht="15.75" customHeight="1">
      <c r="A201" s="38"/>
      <c r="B201" s="18"/>
      <c r="C201" s="29"/>
      <c r="D201" s="35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>
        <f t="shared" si="1"/>
        <v>0</v>
      </c>
      <c r="AK201" s="36">
        <f t="shared" si="2"/>
        <v>0</v>
      </c>
      <c r="AL201" s="36">
        <f t="shared" si="3"/>
        <v>0</v>
      </c>
      <c r="AM201" s="36">
        <f t="shared" si="4"/>
        <v>0</v>
      </c>
      <c r="AN201" s="36">
        <f t="shared" si="5"/>
        <v>0</v>
      </c>
      <c r="AO201" s="36">
        <f t="shared" si="6"/>
        <v>0</v>
      </c>
      <c r="AP201" s="36">
        <f t="shared" si="7"/>
        <v>0</v>
      </c>
      <c r="AQ201" s="36">
        <f t="shared" si="8"/>
        <v>0</v>
      </c>
      <c r="AR201" s="36">
        <v>1.0</v>
      </c>
      <c r="AS201" s="36">
        <f t="shared" si="9"/>
        <v>0</v>
      </c>
      <c r="AT201" s="36">
        <v>2.0</v>
      </c>
      <c r="AU201" s="36">
        <f t="shared" si="10"/>
        <v>0</v>
      </c>
      <c r="AV201" s="36">
        <v>2.0</v>
      </c>
      <c r="AW201" s="37">
        <f t="shared" si="11"/>
        <v>0</v>
      </c>
      <c r="AX201" s="37">
        <f t="shared" si="12"/>
        <v>0</v>
      </c>
      <c r="AY201" s="36"/>
    </row>
    <row r="202" ht="15.75" customHeight="1">
      <c r="A202" s="38"/>
      <c r="B202" s="24"/>
      <c r="C202" s="31"/>
      <c r="D202" s="32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>
        <f t="shared" si="1"/>
        <v>0</v>
      </c>
      <c r="AK202" s="33">
        <f t="shared" si="2"/>
        <v>0</v>
      </c>
      <c r="AL202" s="33">
        <f t="shared" si="3"/>
        <v>0</v>
      </c>
      <c r="AM202" s="33">
        <f t="shared" si="4"/>
        <v>0</v>
      </c>
      <c r="AN202" s="33">
        <f t="shared" si="5"/>
        <v>0</v>
      </c>
      <c r="AO202" s="33">
        <f t="shared" si="6"/>
        <v>0</v>
      </c>
      <c r="AP202" s="33">
        <f t="shared" si="7"/>
        <v>0</v>
      </c>
      <c r="AQ202" s="33">
        <f t="shared" si="8"/>
        <v>0</v>
      </c>
      <c r="AR202" s="33">
        <v>1.0</v>
      </c>
      <c r="AS202" s="33">
        <f t="shared" si="9"/>
        <v>0</v>
      </c>
      <c r="AT202" s="33">
        <v>2.0</v>
      </c>
      <c r="AU202" s="33">
        <f t="shared" si="10"/>
        <v>0</v>
      </c>
      <c r="AV202" s="33">
        <v>2.0</v>
      </c>
      <c r="AW202" s="34">
        <f t="shared" si="11"/>
        <v>0</v>
      </c>
      <c r="AX202" s="34">
        <f t="shared" si="12"/>
        <v>0</v>
      </c>
      <c r="AY202" s="33"/>
    </row>
    <row r="203" ht="15.75" customHeight="1">
      <c r="A203" s="38"/>
      <c r="B203" s="18"/>
      <c r="C203" s="29"/>
      <c r="D203" s="35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>
        <f t="shared" si="1"/>
        <v>0</v>
      </c>
      <c r="AK203" s="36">
        <f t="shared" si="2"/>
        <v>0</v>
      </c>
      <c r="AL203" s="36">
        <f t="shared" si="3"/>
        <v>0</v>
      </c>
      <c r="AM203" s="36">
        <f t="shared" si="4"/>
        <v>0</v>
      </c>
      <c r="AN203" s="36">
        <f t="shared" si="5"/>
        <v>0</v>
      </c>
      <c r="AO203" s="36">
        <f t="shared" si="6"/>
        <v>0</v>
      </c>
      <c r="AP203" s="36">
        <f t="shared" si="7"/>
        <v>0</v>
      </c>
      <c r="AQ203" s="36">
        <f t="shared" si="8"/>
        <v>0</v>
      </c>
      <c r="AR203" s="36">
        <v>1.0</v>
      </c>
      <c r="AS203" s="36">
        <f t="shared" si="9"/>
        <v>0</v>
      </c>
      <c r="AT203" s="36">
        <v>2.0</v>
      </c>
      <c r="AU203" s="36">
        <f t="shared" si="10"/>
        <v>0</v>
      </c>
      <c r="AV203" s="36">
        <v>2.0</v>
      </c>
      <c r="AW203" s="37">
        <f t="shared" si="11"/>
        <v>0</v>
      </c>
      <c r="AX203" s="37">
        <f t="shared" si="12"/>
        <v>0</v>
      </c>
      <c r="AY203" s="36"/>
    </row>
    <row r="204" ht="15.75" customHeight="1">
      <c r="A204" s="38"/>
      <c r="B204" s="24"/>
      <c r="C204" s="31"/>
      <c r="D204" s="32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>
        <f t="shared" si="1"/>
        <v>0</v>
      </c>
      <c r="AK204" s="33">
        <f t="shared" si="2"/>
        <v>0</v>
      </c>
      <c r="AL204" s="33">
        <f t="shared" si="3"/>
        <v>0</v>
      </c>
      <c r="AM204" s="33">
        <f t="shared" si="4"/>
        <v>0</v>
      </c>
      <c r="AN204" s="33">
        <f t="shared" si="5"/>
        <v>0</v>
      </c>
      <c r="AO204" s="33">
        <f t="shared" si="6"/>
        <v>0</v>
      </c>
      <c r="AP204" s="33">
        <f t="shared" si="7"/>
        <v>0</v>
      </c>
      <c r="AQ204" s="33">
        <f t="shared" si="8"/>
        <v>0</v>
      </c>
      <c r="AR204" s="33">
        <v>1.0</v>
      </c>
      <c r="AS204" s="33">
        <f t="shared" si="9"/>
        <v>0</v>
      </c>
      <c r="AT204" s="33">
        <v>2.0</v>
      </c>
      <c r="AU204" s="33">
        <f t="shared" si="10"/>
        <v>0</v>
      </c>
      <c r="AV204" s="33">
        <v>2.0</v>
      </c>
      <c r="AW204" s="34">
        <f t="shared" si="11"/>
        <v>0</v>
      </c>
      <c r="AX204" s="34">
        <f t="shared" si="12"/>
        <v>0</v>
      </c>
      <c r="AY204" s="33"/>
    </row>
    <row r="205" ht="15.75" customHeight="1">
      <c r="A205" s="38"/>
      <c r="B205" s="18"/>
      <c r="C205" s="29"/>
      <c r="D205" s="35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>
        <f t="shared" si="1"/>
        <v>0</v>
      </c>
      <c r="AK205" s="36">
        <f t="shared" si="2"/>
        <v>0</v>
      </c>
      <c r="AL205" s="36">
        <f t="shared" si="3"/>
        <v>0</v>
      </c>
      <c r="AM205" s="36">
        <f t="shared" si="4"/>
        <v>0</v>
      </c>
      <c r="AN205" s="36">
        <f t="shared" si="5"/>
        <v>0</v>
      </c>
      <c r="AO205" s="36">
        <f t="shared" si="6"/>
        <v>0</v>
      </c>
      <c r="AP205" s="36">
        <f t="shared" si="7"/>
        <v>0</v>
      </c>
      <c r="AQ205" s="36">
        <f t="shared" si="8"/>
        <v>0</v>
      </c>
      <c r="AR205" s="36">
        <v>1.0</v>
      </c>
      <c r="AS205" s="36">
        <f t="shared" si="9"/>
        <v>0</v>
      </c>
      <c r="AT205" s="36">
        <v>2.0</v>
      </c>
      <c r="AU205" s="36">
        <f t="shared" si="10"/>
        <v>0</v>
      </c>
      <c r="AV205" s="36">
        <v>2.0</v>
      </c>
      <c r="AW205" s="37">
        <f t="shared" si="11"/>
        <v>0</v>
      </c>
      <c r="AX205" s="37">
        <f t="shared" si="12"/>
        <v>0</v>
      </c>
      <c r="AY205" s="36"/>
    </row>
    <row r="206" ht="15.75" customHeight="1">
      <c r="A206" s="38"/>
      <c r="B206" s="24"/>
      <c r="C206" s="31"/>
      <c r="D206" s="32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>
        <f t="shared" si="1"/>
        <v>0</v>
      </c>
      <c r="AK206" s="33">
        <f t="shared" si="2"/>
        <v>0</v>
      </c>
      <c r="AL206" s="33">
        <f t="shared" si="3"/>
        <v>0</v>
      </c>
      <c r="AM206" s="33">
        <f t="shared" si="4"/>
        <v>0</v>
      </c>
      <c r="AN206" s="33">
        <f t="shared" si="5"/>
        <v>0</v>
      </c>
      <c r="AO206" s="33">
        <f t="shared" si="6"/>
        <v>0</v>
      </c>
      <c r="AP206" s="33">
        <f t="shared" si="7"/>
        <v>0</v>
      </c>
      <c r="AQ206" s="33">
        <f t="shared" si="8"/>
        <v>0</v>
      </c>
      <c r="AR206" s="33">
        <v>1.0</v>
      </c>
      <c r="AS206" s="33">
        <f t="shared" si="9"/>
        <v>0</v>
      </c>
      <c r="AT206" s="33">
        <v>2.0</v>
      </c>
      <c r="AU206" s="33">
        <f t="shared" si="10"/>
        <v>0</v>
      </c>
      <c r="AV206" s="33">
        <v>2.0</v>
      </c>
      <c r="AW206" s="34">
        <f t="shared" si="11"/>
        <v>0</v>
      </c>
      <c r="AX206" s="34">
        <f t="shared" si="12"/>
        <v>0</v>
      </c>
      <c r="AY206" s="33"/>
    </row>
    <row r="207" ht="15.75" customHeight="1">
      <c r="A207" s="38"/>
      <c r="B207" s="18"/>
      <c r="C207" s="29"/>
      <c r="D207" s="3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>
        <f t="shared" si="1"/>
        <v>0</v>
      </c>
      <c r="AK207" s="36">
        <f t="shared" si="2"/>
        <v>0</v>
      </c>
      <c r="AL207" s="36">
        <f t="shared" si="3"/>
        <v>0</v>
      </c>
      <c r="AM207" s="36">
        <f t="shared" si="4"/>
        <v>0</v>
      </c>
      <c r="AN207" s="36">
        <f t="shared" si="5"/>
        <v>0</v>
      </c>
      <c r="AO207" s="36">
        <f t="shared" si="6"/>
        <v>0</v>
      </c>
      <c r="AP207" s="36">
        <f t="shared" si="7"/>
        <v>0</v>
      </c>
      <c r="AQ207" s="36">
        <f t="shared" si="8"/>
        <v>0</v>
      </c>
      <c r="AR207" s="36">
        <v>1.0</v>
      </c>
      <c r="AS207" s="36">
        <f t="shared" si="9"/>
        <v>0</v>
      </c>
      <c r="AT207" s="36">
        <v>2.0</v>
      </c>
      <c r="AU207" s="36">
        <f t="shared" si="10"/>
        <v>0</v>
      </c>
      <c r="AV207" s="36">
        <v>2.0</v>
      </c>
      <c r="AW207" s="37">
        <f t="shared" si="11"/>
        <v>0</v>
      </c>
      <c r="AX207" s="37">
        <f t="shared" si="12"/>
        <v>0</v>
      </c>
      <c r="AY207" s="36"/>
    </row>
    <row r="208" ht="15.75" customHeight="1">
      <c r="A208" s="38"/>
      <c r="B208" s="24"/>
      <c r="C208" s="31"/>
      <c r="D208" s="32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>
        <f t="shared" si="1"/>
        <v>0</v>
      </c>
      <c r="AK208" s="33">
        <f t="shared" si="2"/>
        <v>0</v>
      </c>
      <c r="AL208" s="33">
        <f t="shared" si="3"/>
        <v>0</v>
      </c>
      <c r="AM208" s="33">
        <f t="shared" si="4"/>
        <v>0</v>
      </c>
      <c r="AN208" s="33">
        <f t="shared" si="5"/>
        <v>0</v>
      </c>
      <c r="AO208" s="33">
        <f t="shared" si="6"/>
        <v>0</v>
      </c>
      <c r="AP208" s="33">
        <f t="shared" si="7"/>
        <v>0</v>
      </c>
      <c r="AQ208" s="33">
        <f t="shared" si="8"/>
        <v>0</v>
      </c>
      <c r="AR208" s="33">
        <v>1.0</v>
      </c>
      <c r="AS208" s="33">
        <f t="shared" si="9"/>
        <v>0</v>
      </c>
      <c r="AT208" s="33">
        <v>2.0</v>
      </c>
      <c r="AU208" s="33">
        <f t="shared" si="10"/>
        <v>0</v>
      </c>
      <c r="AV208" s="33">
        <v>2.0</v>
      </c>
      <c r="AW208" s="34">
        <f t="shared" si="11"/>
        <v>0</v>
      </c>
      <c r="AX208" s="34">
        <f t="shared" si="12"/>
        <v>0</v>
      </c>
      <c r="AY208" s="33"/>
    </row>
    <row r="209" ht="15.75" customHeight="1">
      <c r="A209" s="38"/>
      <c r="B209" s="18"/>
      <c r="C209" s="29"/>
      <c r="D209" s="35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>
        <f t="shared" si="1"/>
        <v>0</v>
      </c>
      <c r="AK209" s="36">
        <f t="shared" si="2"/>
        <v>0</v>
      </c>
      <c r="AL209" s="36">
        <f t="shared" si="3"/>
        <v>0</v>
      </c>
      <c r="AM209" s="36">
        <f t="shared" si="4"/>
        <v>0</v>
      </c>
      <c r="AN209" s="36">
        <f t="shared" si="5"/>
        <v>0</v>
      </c>
      <c r="AO209" s="36">
        <f t="shared" si="6"/>
        <v>0</v>
      </c>
      <c r="AP209" s="36">
        <f t="shared" si="7"/>
        <v>0</v>
      </c>
      <c r="AQ209" s="36">
        <f t="shared" si="8"/>
        <v>0</v>
      </c>
      <c r="AR209" s="36">
        <v>1.0</v>
      </c>
      <c r="AS209" s="36">
        <f t="shared" si="9"/>
        <v>0</v>
      </c>
      <c r="AT209" s="36">
        <v>2.0</v>
      </c>
      <c r="AU209" s="36">
        <f t="shared" si="10"/>
        <v>0</v>
      </c>
      <c r="AV209" s="36">
        <v>2.0</v>
      </c>
      <c r="AW209" s="37">
        <f t="shared" si="11"/>
        <v>0</v>
      </c>
      <c r="AX209" s="37">
        <f t="shared" si="12"/>
        <v>0</v>
      </c>
      <c r="AY209" s="36"/>
    </row>
    <row r="210" ht="15.75" customHeight="1">
      <c r="A210" s="38"/>
      <c r="B210" s="24"/>
      <c r="C210" s="31"/>
      <c r="D210" s="32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>
        <f t="shared" si="1"/>
        <v>0</v>
      </c>
      <c r="AK210" s="33">
        <f t="shared" si="2"/>
        <v>0</v>
      </c>
      <c r="AL210" s="33">
        <f t="shared" si="3"/>
        <v>0</v>
      </c>
      <c r="AM210" s="33">
        <f t="shared" si="4"/>
        <v>0</v>
      </c>
      <c r="AN210" s="33">
        <f t="shared" si="5"/>
        <v>0</v>
      </c>
      <c r="AO210" s="33">
        <f t="shared" si="6"/>
        <v>0</v>
      </c>
      <c r="AP210" s="33">
        <f t="shared" si="7"/>
        <v>0</v>
      </c>
      <c r="AQ210" s="33">
        <f t="shared" si="8"/>
        <v>0</v>
      </c>
      <c r="AR210" s="33">
        <v>1.0</v>
      </c>
      <c r="AS210" s="33">
        <f t="shared" si="9"/>
        <v>0</v>
      </c>
      <c r="AT210" s="33">
        <v>2.0</v>
      </c>
      <c r="AU210" s="33">
        <f t="shared" si="10"/>
        <v>0</v>
      </c>
      <c r="AV210" s="33">
        <v>2.0</v>
      </c>
      <c r="AW210" s="34">
        <f t="shared" si="11"/>
        <v>0</v>
      </c>
      <c r="AX210" s="34">
        <f t="shared" si="12"/>
        <v>0</v>
      </c>
      <c r="AY210" s="33"/>
    </row>
    <row r="211" ht="15.75" customHeight="1">
      <c r="A211" s="38"/>
      <c r="B211" s="18"/>
      <c r="C211" s="29"/>
      <c r="D211" s="35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>
        <f t="shared" si="1"/>
        <v>0</v>
      </c>
      <c r="AK211" s="36">
        <f t="shared" si="2"/>
        <v>0</v>
      </c>
      <c r="AL211" s="36">
        <f t="shared" si="3"/>
        <v>0</v>
      </c>
      <c r="AM211" s="36">
        <f t="shared" si="4"/>
        <v>0</v>
      </c>
      <c r="AN211" s="36">
        <f t="shared" si="5"/>
        <v>0</v>
      </c>
      <c r="AO211" s="36">
        <f t="shared" si="6"/>
        <v>0</v>
      </c>
      <c r="AP211" s="36">
        <f t="shared" si="7"/>
        <v>0</v>
      </c>
      <c r="AQ211" s="36">
        <f t="shared" si="8"/>
        <v>0</v>
      </c>
      <c r="AR211" s="36">
        <v>1.0</v>
      </c>
      <c r="AS211" s="36">
        <f t="shared" si="9"/>
        <v>0</v>
      </c>
      <c r="AT211" s="36">
        <v>2.0</v>
      </c>
      <c r="AU211" s="36">
        <f t="shared" si="10"/>
        <v>0</v>
      </c>
      <c r="AV211" s="36">
        <v>2.0</v>
      </c>
      <c r="AW211" s="37">
        <f t="shared" si="11"/>
        <v>0</v>
      </c>
      <c r="AX211" s="37">
        <f t="shared" si="12"/>
        <v>0</v>
      </c>
      <c r="AY211" s="36"/>
    </row>
    <row r="212" ht="15.75" customHeight="1">
      <c r="A212" s="38"/>
      <c r="B212" s="24"/>
      <c r="C212" s="31"/>
      <c r="D212" s="32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>
        <f t="shared" si="1"/>
        <v>0</v>
      </c>
      <c r="AK212" s="33">
        <f t="shared" si="2"/>
        <v>0</v>
      </c>
      <c r="AL212" s="33">
        <f t="shared" si="3"/>
        <v>0</v>
      </c>
      <c r="AM212" s="33">
        <f t="shared" si="4"/>
        <v>0</v>
      </c>
      <c r="AN212" s="33">
        <f t="shared" si="5"/>
        <v>0</v>
      </c>
      <c r="AO212" s="33">
        <f t="shared" si="6"/>
        <v>0</v>
      </c>
      <c r="AP212" s="33">
        <f t="shared" si="7"/>
        <v>0</v>
      </c>
      <c r="AQ212" s="33">
        <f t="shared" si="8"/>
        <v>0</v>
      </c>
      <c r="AR212" s="33">
        <v>1.0</v>
      </c>
      <c r="AS212" s="33">
        <f t="shared" si="9"/>
        <v>0</v>
      </c>
      <c r="AT212" s="33">
        <v>2.0</v>
      </c>
      <c r="AU212" s="33">
        <f t="shared" si="10"/>
        <v>0</v>
      </c>
      <c r="AV212" s="33">
        <v>2.0</v>
      </c>
      <c r="AW212" s="34">
        <f t="shared" si="11"/>
        <v>0</v>
      </c>
      <c r="AX212" s="34">
        <f t="shared" si="12"/>
        <v>0</v>
      </c>
      <c r="AY212" s="33"/>
    </row>
    <row r="213" ht="15.75" customHeight="1">
      <c r="A213" s="38"/>
      <c r="B213" s="18"/>
      <c r="C213" s="29"/>
      <c r="D213" s="35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>
        <f t="shared" si="1"/>
        <v>0</v>
      </c>
      <c r="AK213" s="36">
        <f t="shared" si="2"/>
        <v>0</v>
      </c>
      <c r="AL213" s="36">
        <f t="shared" si="3"/>
        <v>0</v>
      </c>
      <c r="AM213" s="36">
        <f t="shared" si="4"/>
        <v>0</v>
      </c>
      <c r="AN213" s="36">
        <f t="shared" si="5"/>
        <v>0</v>
      </c>
      <c r="AO213" s="36">
        <f t="shared" si="6"/>
        <v>0</v>
      </c>
      <c r="AP213" s="36">
        <f t="shared" si="7"/>
        <v>0</v>
      </c>
      <c r="AQ213" s="36">
        <f t="shared" si="8"/>
        <v>0</v>
      </c>
      <c r="AR213" s="36">
        <v>1.0</v>
      </c>
      <c r="AS213" s="36">
        <f t="shared" si="9"/>
        <v>0</v>
      </c>
      <c r="AT213" s="36">
        <v>2.0</v>
      </c>
      <c r="AU213" s="36">
        <f t="shared" si="10"/>
        <v>0</v>
      </c>
      <c r="AV213" s="36">
        <v>2.0</v>
      </c>
      <c r="AW213" s="37">
        <f t="shared" si="11"/>
        <v>0</v>
      </c>
      <c r="AX213" s="37">
        <f t="shared" si="12"/>
        <v>0</v>
      </c>
      <c r="AY213" s="36"/>
    </row>
    <row r="214" ht="15.75" customHeight="1">
      <c r="A214" s="38"/>
      <c r="B214" s="24"/>
      <c r="C214" s="31"/>
      <c r="D214" s="32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>
        <f t="shared" si="1"/>
        <v>0</v>
      </c>
      <c r="AK214" s="33">
        <f t="shared" si="2"/>
        <v>0</v>
      </c>
      <c r="AL214" s="33">
        <f t="shared" si="3"/>
        <v>0</v>
      </c>
      <c r="AM214" s="33">
        <f t="shared" si="4"/>
        <v>0</v>
      </c>
      <c r="AN214" s="33">
        <f t="shared" si="5"/>
        <v>0</v>
      </c>
      <c r="AO214" s="33">
        <f t="shared" si="6"/>
        <v>0</v>
      </c>
      <c r="AP214" s="33">
        <f t="shared" si="7"/>
        <v>0</v>
      </c>
      <c r="AQ214" s="33">
        <f t="shared" si="8"/>
        <v>0</v>
      </c>
      <c r="AR214" s="33">
        <v>1.0</v>
      </c>
      <c r="AS214" s="33">
        <f t="shared" si="9"/>
        <v>0</v>
      </c>
      <c r="AT214" s="33">
        <v>2.0</v>
      </c>
      <c r="AU214" s="33">
        <f t="shared" si="10"/>
        <v>0</v>
      </c>
      <c r="AV214" s="33">
        <v>2.0</v>
      </c>
      <c r="AW214" s="34">
        <f t="shared" si="11"/>
        <v>0</v>
      </c>
      <c r="AX214" s="34">
        <f t="shared" si="12"/>
        <v>0</v>
      </c>
      <c r="AY214" s="33"/>
    </row>
    <row r="215" ht="15.75" customHeight="1">
      <c r="A215" s="38"/>
      <c r="B215" s="18"/>
      <c r="C215" s="29"/>
      <c r="D215" s="35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>
        <f t="shared" si="1"/>
        <v>0</v>
      </c>
      <c r="AK215" s="36">
        <f t="shared" si="2"/>
        <v>0</v>
      </c>
      <c r="AL215" s="36">
        <f t="shared" si="3"/>
        <v>0</v>
      </c>
      <c r="AM215" s="36">
        <f t="shared" si="4"/>
        <v>0</v>
      </c>
      <c r="AN215" s="36">
        <f t="shared" si="5"/>
        <v>0</v>
      </c>
      <c r="AO215" s="36">
        <f t="shared" si="6"/>
        <v>0</v>
      </c>
      <c r="AP215" s="36">
        <f t="shared" si="7"/>
        <v>0</v>
      </c>
      <c r="AQ215" s="36">
        <f t="shared" si="8"/>
        <v>0</v>
      </c>
      <c r="AR215" s="36">
        <v>1.0</v>
      </c>
      <c r="AS215" s="36">
        <f t="shared" si="9"/>
        <v>0</v>
      </c>
      <c r="AT215" s="36">
        <v>2.0</v>
      </c>
      <c r="AU215" s="36">
        <f t="shared" si="10"/>
        <v>0</v>
      </c>
      <c r="AV215" s="36">
        <v>2.0</v>
      </c>
      <c r="AW215" s="37">
        <f t="shared" si="11"/>
        <v>0</v>
      </c>
      <c r="AX215" s="37">
        <f t="shared" si="12"/>
        <v>0</v>
      </c>
      <c r="AY215" s="36"/>
    </row>
    <row r="216" ht="15.75" customHeight="1">
      <c r="A216" s="38"/>
      <c r="B216" s="24"/>
      <c r="C216" s="31"/>
      <c r="D216" s="32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>
        <f t="shared" si="1"/>
        <v>0</v>
      </c>
      <c r="AK216" s="33">
        <f t="shared" si="2"/>
        <v>0</v>
      </c>
      <c r="AL216" s="33">
        <f t="shared" si="3"/>
        <v>0</v>
      </c>
      <c r="AM216" s="33">
        <f t="shared" si="4"/>
        <v>0</v>
      </c>
      <c r="AN216" s="33">
        <f t="shared" si="5"/>
        <v>0</v>
      </c>
      <c r="AO216" s="33">
        <f t="shared" si="6"/>
        <v>0</v>
      </c>
      <c r="AP216" s="33">
        <f t="shared" si="7"/>
        <v>0</v>
      </c>
      <c r="AQ216" s="33">
        <f t="shared" si="8"/>
        <v>0</v>
      </c>
      <c r="AR216" s="33">
        <v>1.0</v>
      </c>
      <c r="AS216" s="33">
        <f t="shared" si="9"/>
        <v>0</v>
      </c>
      <c r="AT216" s="33">
        <v>2.0</v>
      </c>
      <c r="AU216" s="33">
        <f t="shared" si="10"/>
        <v>0</v>
      </c>
      <c r="AV216" s="33">
        <v>2.0</v>
      </c>
      <c r="AW216" s="34">
        <f t="shared" si="11"/>
        <v>0</v>
      </c>
      <c r="AX216" s="34">
        <f t="shared" si="12"/>
        <v>0</v>
      </c>
      <c r="AY216" s="33"/>
    </row>
    <row r="217" ht="15.75" customHeight="1">
      <c r="A217" s="38"/>
      <c r="B217" s="18"/>
      <c r="C217" s="29"/>
      <c r="D217" s="35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>
        <f t="shared" si="1"/>
        <v>0</v>
      </c>
      <c r="AK217" s="36">
        <f t="shared" si="2"/>
        <v>0</v>
      </c>
      <c r="AL217" s="36">
        <f t="shared" si="3"/>
        <v>0</v>
      </c>
      <c r="AM217" s="36">
        <f t="shared" si="4"/>
        <v>0</v>
      </c>
      <c r="AN217" s="36">
        <f t="shared" si="5"/>
        <v>0</v>
      </c>
      <c r="AO217" s="36">
        <f t="shared" si="6"/>
        <v>0</v>
      </c>
      <c r="AP217" s="36">
        <f t="shared" si="7"/>
        <v>0</v>
      </c>
      <c r="AQ217" s="36">
        <f t="shared" si="8"/>
        <v>0</v>
      </c>
      <c r="AR217" s="36">
        <v>1.0</v>
      </c>
      <c r="AS217" s="36">
        <f t="shared" si="9"/>
        <v>0</v>
      </c>
      <c r="AT217" s="36">
        <v>2.0</v>
      </c>
      <c r="AU217" s="36">
        <f t="shared" si="10"/>
        <v>0</v>
      </c>
      <c r="AV217" s="36">
        <v>2.0</v>
      </c>
      <c r="AW217" s="37">
        <f t="shared" si="11"/>
        <v>0</v>
      </c>
      <c r="AX217" s="37">
        <f t="shared" si="12"/>
        <v>0</v>
      </c>
      <c r="AY217" s="36"/>
    </row>
    <row r="218" ht="15.75" customHeight="1">
      <c r="A218" s="38"/>
      <c r="B218" s="24"/>
      <c r="C218" s="31"/>
      <c r="D218" s="32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>
        <f t="shared" si="1"/>
        <v>0</v>
      </c>
      <c r="AK218" s="33">
        <f t="shared" si="2"/>
        <v>0</v>
      </c>
      <c r="AL218" s="33">
        <f t="shared" si="3"/>
        <v>0</v>
      </c>
      <c r="AM218" s="33">
        <f t="shared" si="4"/>
        <v>0</v>
      </c>
      <c r="AN218" s="33">
        <f t="shared" si="5"/>
        <v>0</v>
      </c>
      <c r="AO218" s="33">
        <f t="shared" si="6"/>
        <v>0</v>
      </c>
      <c r="AP218" s="33">
        <f t="shared" si="7"/>
        <v>0</v>
      </c>
      <c r="AQ218" s="33">
        <f t="shared" si="8"/>
        <v>0</v>
      </c>
      <c r="AR218" s="33">
        <v>1.0</v>
      </c>
      <c r="AS218" s="33">
        <f t="shared" si="9"/>
        <v>0</v>
      </c>
      <c r="AT218" s="33">
        <v>2.0</v>
      </c>
      <c r="AU218" s="33">
        <f t="shared" si="10"/>
        <v>0</v>
      </c>
      <c r="AV218" s="33">
        <v>2.0</v>
      </c>
      <c r="AW218" s="34">
        <f t="shared" si="11"/>
        <v>0</v>
      </c>
      <c r="AX218" s="34">
        <f t="shared" si="12"/>
        <v>0</v>
      </c>
      <c r="AY218" s="33"/>
    </row>
    <row r="219" ht="15.75" customHeight="1">
      <c r="A219" s="38"/>
      <c r="B219" s="18"/>
      <c r="C219" s="29"/>
      <c r="D219" s="35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>
        <f t="shared" si="1"/>
        <v>0</v>
      </c>
      <c r="AK219" s="36">
        <f t="shared" si="2"/>
        <v>0</v>
      </c>
      <c r="AL219" s="36">
        <f t="shared" si="3"/>
        <v>0</v>
      </c>
      <c r="AM219" s="36">
        <f t="shared" si="4"/>
        <v>0</v>
      </c>
      <c r="AN219" s="36">
        <f t="shared" si="5"/>
        <v>0</v>
      </c>
      <c r="AO219" s="36">
        <f t="shared" si="6"/>
        <v>0</v>
      </c>
      <c r="AP219" s="36">
        <f t="shared" si="7"/>
        <v>0</v>
      </c>
      <c r="AQ219" s="36">
        <f t="shared" si="8"/>
        <v>0</v>
      </c>
      <c r="AR219" s="36">
        <v>1.0</v>
      </c>
      <c r="AS219" s="36">
        <f t="shared" si="9"/>
        <v>0</v>
      </c>
      <c r="AT219" s="36">
        <v>2.0</v>
      </c>
      <c r="AU219" s="36">
        <f t="shared" si="10"/>
        <v>0</v>
      </c>
      <c r="AV219" s="36">
        <v>2.0</v>
      </c>
      <c r="AW219" s="37">
        <f t="shared" si="11"/>
        <v>0</v>
      </c>
      <c r="AX219" s="37">
        <f t="shared" si="12"/>
        <v>0</v>
      </c>
      <c r="AY219" s="36"/>
    </row>
    <row r="220" ht="15.75" customHeight="1">
      <c r="A220" s="38"/>
      <c r="B220" s="24"/>
      <c r="C220" s="31"/>
      <c r="D220" s="32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>
        <f t="shared" si="1"/>
        <v>0</v>
      </c>
      <c r="AK220" s="33">
        <f t="shared" si="2"/>
        <v>0</v>
      </c>
      <c r="AL220" s="33">
        <f t="shared" si="3"/>
        <v>0</v>
      </c>
      <c r="AM220" s="33">
        <f t="shared" si="4"/>
        <v>0</v>
      </c>
      <c r="AN220" s="33">
        <f t="shared" si="5"/>
        <v>0</v>
      </c>
      <c r="AO220" s="33">
        <f t="shared" si="6"/>
        <v>0</v>
      </c>
      <c r="AP220" s="33">
        <f t="shared" si="7"/>
        <v>0</v>
      </c>
      <c r="AQ220" s="33">
        <f t="shared" si="8"/>
        <v>0</v>
      </c>
      <c r="AR220" s="33">
        <v>1.0</v>
      </c>
      <c r="AS220" s="33">
        <f t="shared" si="9"/>
        <v>0</v>
      </c>
      <c r="AT220" s="33">
        <v>2.0</v>
      </c>
      <c r="AU220" s="33">
        <f t="shared" si="10"/>
        <v>0</v>
      </c>
      <c r="AV220" s="33">
        <v>2.0</v>
      </c>
      <c r="AW220" s="34">
        <f t="shared" si="11"/>
        <v>0</v>
      </c>
      <c r="AX220" s="34">
        <f t="shared" si="12"/>
        <v>0</v>
      </c>
      <c r="AY220" s="33"/>
    </row>
    <row r="221" ht="15.75" customHeight="1">
      <c r="A221" s="38"/>
      <c r="B221" s="18"/>
      <c r="C221" s="29"/>
      <c r="D221" s="35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>
        <f t="shared" si="1"/>
        <v>0</v>
      </c>
      <c r="AK221" s="36">
        <f t="shared" si="2"/>
        <v>0</v>
      </c>
      <c r="AL221" s="36">
        <f t="shared" si="3"/>
        <v>0</v>
      </c>
      <c r="AM221" s="36">
        <f t="shared" si="4"/>
        <v>0</v>
      </c>
      <c r="AN221" s="36">
        <f t="shared" si="5"/>
        <v>0</v>
      </c>
      <c r="AO221" s="36">
        <f t="shared" si="6"/>
        <v>0</v>
      </c>
      <c r="AP221" s="36">
        <f t="shared" si="7"/>
        <v>0</v>
      </c>
      <c r="AQ221" s="36">
        <f t="shared" si="8"/>
        <v>0</v>
      </c>
      <c r="AR221" s="36">
        <v>1.0</v>
      </c>
      <c r="AS221" s="36">
        <f t="shared" si="9"/>
        <v>0</v>
      </c>
      <c r="AT221" s="36">
        <v>2.0</v>
      </c>
      <c r="AU221" s="36">
        <f t="shared" si="10"/>
        <v>0</v>
      </c>
      <c r="AV221" s="36">
        <v>2.0</v>
      </c>
      <c r="AW221" s="37">
        <f t="shared" si="11"/>
        <v>0</v>
      </c>
      <c r="AX221" s="37">
        <f t="shared" si="12"/>
        <v>0</v>
      </c>
      <c r="AY221" s="36"/>
    </row>
    <row r="222" ht="15.75" customHeight="1">
      <c r="A222" s="38"/>
      <c r="B222" s="24"/>
      <c r="C222" s="31"/>
      <c r="D222" s="32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>
        <f t="shared" si="1"/>
        <v>0</v>
      </c>
      <c r="AK222" s="33">
        <f t="shared" si="2"/>
        <v>0</v>
      </c>
      <c r="AL222" s="33">
        <f t="shared" si="3"/>
        <v>0</v>
      </c>
      <c r="AM222" s="33">
        <f t="shared" si="4"/>
        <v>0</v>
      </c>
      <c r="AN222" s="33">
        <f t="shared" si="5"/>
        <v>0</v>
      </c>
      <c r="AO222" s="33">
        <f t="shared" si="6"/>
        <v>0</v>
      </c>
      <c r="AP222" s="33">
        <f t="shared" si="7"/>
        <v>0</v>
      </c>
      <c r="AQ222" s="33">
        <f t="shared" si="8"/>
        <v>0</v>
      </c>
      <c r="AR222" s="33">
        <v>1.0</v>
      </c>
      <c r="AS222" s="33">
        <f t="shared" si="9"/>
        <v>0</v>
      </c>
      <c r="AT222" s="33">
        <v>2.0</v>
      </c>
      <c r="AU222" s="33">
        <f t="shared" si="10"/>
        <v>0</v>
      </c>
      <c r="AV222" s="33">
        <v>2.0</v>
      </c>
      <c r="AW222" s="34">
        <f t="shared" si="11"/>
        <v>0</v>
      </c>
      <c r="AX222" s="34">
        <f t="shared" si="12"/>
        <v>0</v>
      </c>
      <c r="AY222" s="33"/>
    </row>
    <row r="223" ht="15.75" customHeight="1">
      <c r="A223" s="38"/>
      <c r="B223" s="18"/>
      <c r="C223" s="29"/>
      <c r="D223" s="35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>
        <f t="shared" si="1"/>
        <v>0</v>
      </c>
      <c r="AK223" s="36">
        <f t="shared" si="2"/>
        <v>0</v>
      </c>
      <c r="AL223" s="36">
        <f t="shared" si="3"/>
        <v>0</v>
      </c>
      <c r="AM223" s="36">
        <f t="shared" si="4"/>
        <v>0</v>
      </c>
      <c r="AN223" s="36">
        <f t="shared" si="5"/>
        <v>0</v>
      </c>
      <c r="AO223" s="36">
        <f t="shared" si="6"/>
        <v>0</v>
      </c>
      <c r="AP223" s="36">
        <f t="shared" si="7"/>
        <v>0</v>
      </c>
      <c r="AQ223" s="36">
        <f t="shared" si="8"/>
        <v>0</v>
      </c>
      <c r="AR223" s="36">
        <v>1.0</v>
      </c>
      <c r="AS223" s="36">
        <f t="shared" si="9"/>
        <v>0</v>
      </c>
      <c r="AT223" s="36">
        <v>2.0</v>
      </c>
      <c r="AU223" s="36">
        <f t="shared" si="10"/>
        <v>0</v>
      </c>
      <c r="AV223" s="36">
        <v>2.0</v>
      </c>
      <c r="AW223" s="37">
        <f t="shared" si="11"/>
        <v>0</v>
      </c>
      <c r="AX223" s="37">
        <f t="shared" si="12"/>
        <v>0</v>
      </c>
      <c r="AY223" s="36"/>
    </row>
    <row r="224" ht="15.75" customHeight="1">
      <c r="A224" s="38"/>
      <c r="B224" s="24"/>
      <c r="C224" s="31"/>
      <c r="D224" s="32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>
        <f t="shared" si="1"/>
        <v>0</v>
      </c>
      <c r="AK224" s="33">
        <f t="shared" si="2"/>
        <v>0</v>
      </c>
      <c r="AL224" s="33">
        <f t="shared" si="3"/>
        <v>0</v>
      </c>
      <c r="AM224" s="33">
        <f t="shared" si="4"/>
        <v>0</v>
      </c>
      <c r="AN224" s="33">
        <f t="shared" si="5"/>
        <v>0</v>
      </c>
      <c r="AO224" s="33">
        <f t="shared" si="6"/>
        <v>0</v>
      </c>
      <c r="AP224" s="33">
        <f t="shared" si="7"/>
        <v>0</v>
      </c>
      <c r="AQ224" s="33">
        <f t="shared" si="8"/>
        <v>0</v>
      </c>
      <c r="AR224" s="33">
        <v>1.0</v>
      </c>
      <c r="AS224" s="33">
        <f t="shared" si="9"/>
        <v>0</v>
      </c>
      <c r="AT224" s="33">
        <v>2.0</v>
      </c>
      <c r="AU224" s="33">
        <f t="shared" si="10"/>
        <v>0</v>
      </c>
      <c r="AV224" s="33">
        <v>2.0</v>
      </c>
      <c r="AW224" s="34">
        <f t="shared" si="11"/>
        <v>0</v>
      </c>
      <c r="AX224" s="34">
        <f t="shared" si="12"/>
        <v>0</v>
      </c>
      <c r="AY224" s="33"/>
    </row>
    <row r="225" ht="15.75" customHeight="1">
      <c r="A225" s="38"/>
      <c r="B225" s="18"/>
      <c r="C225" s="29"/>
      <c r="D225" s="35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>
        <f t="shared" si="1"/>
        <v>0</v>
      </c>
      <c r="AK225" s="36">
        <f t="shared" si="2"/>
        <v>0</v>
      </c>
      <c r="AL225" s="36">
        <f t="shared" si="3"/>
        <v>0</v>
      </c>
      <c r="AM225" s="36">
        <f t="shared" si="4"/>
        <v>0</v>
      </c>
      <c r="AN225" s="36">
        <f t="shared" si="5"/>
        <v>0</v>
      </c>
      <c r="AO225" s="36">
        <f t="shared" si="6"/>
        <v>0</v>
      </c>
      <c r="AP225" s="36">
        <f t="shared" si="7"/>
        <v>0</v>
      </c>
      <c r="AQ225" s="36">
        <f t="shared" si="8"/>
        <v>0</v>
      </c>
      <c r="AR225" s="36">
        <v>1.0</v>
      </c>
      <c r="AS225" s="36">
        <f t="shared" si="9"/>
        <v>0</v>
      </c>
      <c r="AT225" s="36">
        <v>2.0</v>
      </c>
      <c r="AU225" s="36">
        <f t="shared" si="10"/>
        <v>0</v>
      </c>
      <c r="AV225" s="36">
        <v>2.0</v>
      </c>
      <c r="AW225" s="37">
        <f t="shared" si="11"/>
        <v>0</v>
      </c>
      <c r="AX225" s="37">
        <f t="shared" si="12"/>
        <v>0</v>
      </c>
      <c r="AY225" s="36"/>
    </row>
    <row r="226" ht="15.75" customHeight="1">
      <c r="A226" s="38"/>
      <c r="B226" s="24"/>
      <c r="C226" s="31"/>
      <c r="D226" s="32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>
        <f t="shared" si="1"/>
        <v>0</v>
      </c>
      <c r="AK226" s="33">
        <f t="shared" si="2"/>
        <v>0</v>
      </c>
      <c r="AL226" s="33">
        <f t="shared" si="3"/>
        <v>0</v>
      </c>
      <c r="AM226" s="33">
        <f t="shared" si="4"/>
        <v>0</v>
      </c>
      <c r="AN226" s="33">
        <f t="shared" si="5"/>
        <v>0</v>
      </c>
      <c r="AO226" s="33">
        <f t="shared" si="6"/>
        <v>0</v>
      </c>
      <c r="AP226" s="33">
        <f t="shared" si="7"/>
        <v>0</v>
      </c>
      <c r="AQ226" s="33">
        <f t="shared" si="8"/>
        <v>0</v>
      </c>
      <c r="AR226" s="33">
        <v>1.0</v>
      </c>
      <c r="AS226" s="33">
        <f t="shared" si="9"/>
        <v>0</v>
      </c>
      <c r="AT226" s="33">
        <v>2.0</v>
      </c>
      <c r="AU226" s="33">
        <f t="shared" si="10"/>
        <v>0</v>
      </c>
      <c r="AV226" s="33">
        <v>2.0</v>
      </c>
      <c r="AW226" s="34">
        <f t="shared" si="11"/>
        <v>0</v>
      </c>
      <c r="AX226" s="34">
        <f t="shared" si="12"/>
        <v>0</v>
      </c>
      <c r="AY226" s="33"/>
    </row>
    <row r="227" ht="15.75" customHeight="1">
      <c r="A227" s="38"/>
      <c r="B227" s="18"/>
      <c r="C227" s="29"/>
      <c r="D227" s="35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>
        <f t="shared" si="1"/>
        <v>0</v>
      </c>
      <c r="AK227" s="36">
        <f t="shared" si="2"/>
        <v>0</v>
      </c>
      <c r="AL227" s="36">
        <f t="shared" si="3"/>
        <v>0</v>
      </c>
      <c r="AM227" s="36">
        <f t="shared" si="4"/>
        <v>0</v>
      </c>
      <c r="AN227" s="36">
        <f t="shared" si="5"/>
        <v>0</v>
      </c>
      <c r="AO227" s="36">
        <f t="shared" si="6"/>
        <v>0</v>
      </c>
      <c r="AP227" s="36">
        <f t="shared" si="7"/>
        <v>0</v>
      </c>
      <c r="AQ227" s="36">
        <f t="shared" si="8"/>
        <v>0</v>
      </c>
      <c r="AR227" s="36">
        <v>1.0</v>
      </c>
      <c r="AS227" s="36">
        <f t="shared" si="9"/>
        <v>0</v>
      </c>
      <c r="AT227" s="36">
        <v>2.0</v>
      </c>
      <c r="AU227" s="36">
        <f t="shared" si="10"/>
        <v>0</v>
      </c>
      <c r="AV227" s="36">
        <v>2.0</v>
      </c>
      <c r="AW227" s="37">
        <f t="shared" si="11"/>
        <v>0</v>
      </c>
      <c r="AX227" s="37">
        <f t="shared" si="12"/>
        <v>0</v>
      </c>
      <c r="AY227" s="36"/>
    </row>
    <row r="228" ht="15.75" customHeight="1">
      <c r="A228" s="38"/>
      <c r="B228" s="24"/>
      <c r="C228" s="31"/>
      <c r="D228" s="32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>
        <f t="shared" si="1"/>
        <v>0</v>
      </c>
      <c r="AK228" s="33">
        <f t="shared" si="2"/>
        <v>0</v>
      </c>
      <c r="AL228" s="33">
        <f t="shared" si="3"/>
        <v>0</v>
      </c>
      <c r="AM228" s="33">
        <f t="shared" si="4"/>
        <v>0</v>
      </c>
      <c r="AN228" s="33">
        <f t="shared" si="5"/>
        <v>0</v>
      </c>
      <c r="AO228" s="33">
        <f t="shared" si="6"/>
        <v>0</v>
      </c>
      <c r="AP228" s="33">
        <f t="shared" si="7"/>
        <v>0</v>
      </c>
      <c r="AQ228" s="33">
        <f t="shared" si="8"/>
        <v>0</v>
      </c>
      <c r="AR228" s="33">
        <v>1.0</v>
      </c>
      <c r="AS228" s="33">
        <f t="shared" si="9"/>
        <v>0</v>
      </c>
      <c r="AT228" s="33">
        <v>2.0</v>
      </c>
      <c r="AU228" s="33">
        <f t="shared" si="10"/>
        <v>0</v>
      </c>
      <c r="AV228" s="33">
        <v>2.0</v>
      </c>
      <c r="AW228" s="34">
        <f t="shared" si="11"/>
        <v>0</v>
      </c>
      <c r="AX228" s="34">
        <f t="shared" si="12"/>
        <v>0</v>
      </c>
      <c r="AY228" s="33"/>
    </row>
    <row r="229" ht="15.75" customHeight="1">
      <c r="A229" s="38"/>
      <c r="B229" s="18"/>
      <c r="C229" s="29"/>
      <c r="D229" s="35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>
        <f t="shared" si="1"/>
        <v>0</v>
      </c>
      <c r="AK229" s="36">
        <f t="shared" si="2"/>
        <v>0</v>
      </c>
      <c r="AL229" s="36">
        <f t="shared" si="3"/>
        <v>0</v>
      </c>
      <c r="AM229" s="36">
        <f t="shared" si="4"/>
        <v>0</v>
      </c>
      <c r="AN229" s="36">
        <f t="shared" si="5"/>
        <v>0</v>
      </c>
      <c r="AO229" s="36">
        <f t="shared" si="6"/>
        <v>0</v>
      </c>
      <c r="AP229" s="36">
        <f t="shared" si="7"/>
        <v>0</v>
      </c>
      <c r="AQ229" s="36">
        <f t="shared" si="8"/>
        <v>0</v>
      </c>
      <c r="AR229" s="36">
        <v>1.0</v>
      </c>
      <c r="AS229" s="36">
        <f t="shared" si="9"/>
        <v>0</v>
      </c>
      <c r="AT229" s="36">
        <v>2.0</v>
      </c>
      <c r="AU229" s="36">
        <f t="shared" si="10"/>
        <v>0</v>
      </c>
      <c r="AV229" s="36">
        <v>2.0</v>
      </c>
      <c r="AW229" s="37">
        <f t="shared" si="11"/>
        <v>0</v>
      </c>
      <c r="AX229" s="37">
        <f t="shared" si="12"/>
        <v>0</v>
      </c>
      <c r="AY229" s="36"/>
    </row>
    <row r="230" ht="15.75" customHeight="1">
      <c r="A230" s="38"/>
      <c r="B230" s="24"/>
      <c r="C230" s="31"/>
      <c r="D230" s="32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>
        <f t="shared" si="1"/>
        <v>0</v>
      </c>
      <c r="AK230" s="33">
        <f t="shared" si="2"/>
        <v>0</v>
      </c>
      <c r="AL230" s="33">
        <f t="shared" si="3"/>
        <v>0</v>
      </c>
      <c r="AM230" s="33">
        <f t="shared" si="4"/>
        <v>0</v>
      </c>
      <c r="AN230" s="33">
        <f t="shared" si="5"/>
        <v>0</v>
      </c>
      <c r="AO230" s="33">
        <f t="shared" si="6"/>
        <v>0</v>
      </c>
      <c r="AP230" s="33">
        <f t="shared" si="7"/>
        <v>0</v>
      </c>
      <c r="AQ230" s="33">
        <f t="shared" si="8"/>
        <v>0</v>
      </c>
      <c r="AR230" s="33">
        <v>1.0</v>
      </c>
      <c r="AS230" s="33">
        <f t="shared" si="9"/>
        <v>0</v>
      </c>
      <c r="AT230" s="33">
        <v>2.0</v>
      </c>
      <c r="AU230" s="33">
        <f t="shared" si="10"/>
        <v>0</v>
      </c>
      <c r="AV230" s="33">
        <v>2.0</v>
      </c>
      <c r="AW230" s="34">
        <f t="shared" si="11"/>
        <v>0</v>
      </c>
      <c r="AX230" s="34">
        <f t="shared" si="12"/>
        <v>0</v>
      </c>
      <c r="AY230" s="33"/>
    </row>
    <row r="231" ht="15.75" customHeight="1">
      <c r="A231" s="38"/>
      <c r="B231" s="18"/>
      <c r="C231" s="29"/>
      <c r="D231" s="35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>
        <f t="shared" si="1"/>
        <v>0</v>
      </c>
      <c r="AK231" s="36">
        <f t="shared" si="2"/>
        <v>0</v>
      </c>
      <c r="AL231" s="36">
        <f t="shared" si="3"/>
        <v>0</v>
      </c>
      <c r="AM231" s="36">
        <f t="shared" si="4"/>
        <v>0</v>
      </c>
      <c r="AN231" s="36">
        <f t="shared" si="5"/>
        <v>0</v>
      </c>
      <c r="AO231" s="36">
        <f t="shared" si="6"/>
        <v>0</v>
      </c>
      <c r="AP231" s="36">
        <f t="shared" si="7"/>
        <v>0</v>
      </c>
      <c r="AQ231" s="36">
        <f t="shared" si="8"/>
        <v>0</v>
      </c>
      <c r="AR231" s="36">
        <v>1.0</v>
      </c>
      <c r="AS231" s="36">
        <f t="shared" si="9"/>
        <v>0</v>
      </c>
      <c r="AT231" s="36">
        <v>2.0</v>
      </c>
      <c r="AU231" s="36">
        <f t="shared" si="10"/>
        <v>0</v>
      </c>
      <c r="AV231" s="36">
        <v>2.0</v>
      </c>
      <c r="AW231" s="37">
        <f t="shared" si="11"/>
        <v>0</v>
      </c>
      <c r="AX231" s="37">
        <f t="shared" si="12"/>
        <v>0</v>
      </c>
      <c r="AY231" s="36"/>
    </row>
    <row r="232" ht="15.75" customHeight="1">
      <c r="A232" s="38"/>
      <c r="B232" s="24"/>
      <c r="C232" s="31"/>
      <c r="D232" s="32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>
        <f t="shared" si="1"/>
        <v>0</v>
      </c>
      <c r="AK232" s="33">
        <f t="shared" si="2"/>
        <v>0</v>
      </c>
      <c r="AL232" s="33">
        <f t="shared" si="3"/>
        <v>0</v>
      </c>
      <c r="AM232" s="33">
        <f t="shared" si="4"/>
        <v>0</v>
      </c>
      <c r="AN232" s="33">
        <f t="shared" si="5"/>
        <v>0</v>
      </c>
      <c r="AO232" s="33">
        <f t="shared" si="6"/>
        <v>0</v>
      </c>
      <c r="AP232" s="33">
        <f t="shared" si="7"/>
        <v>0</v>
      </c>
      <c r="AQ232" s="33">
        <f t="shared" si="8"/>
        <v>0</v>
      </c>
      <c r="AR232" s="33">
        <v>1.0</v>
      </c>
      <c r="AS232" s="33">
        <f t="shared" si="9"/>
        <v>0</v>
      </c>
      <c r="AT232" s="33">
        <v>2.0</v>
      </c>
      <c r="AU232" s="33">
        <f t="shared" si="10"/>
        <v>0</v>
      </c>
      <c r="AV232" s="33">
        <v>2.0</v>
      </c>
      <c r="AW232" s="34">
        <f t="shared" si="11"/>
        <v>0</v>
      </c>
      <c r="AX232" s="34">
        <f t="shared" si="12"/>
        <v>0</v>
      </c>
      <c r="AY232" s="33"/>
    </row>
    <row r="233" ht="15.75" customHeight="1">
      <c r="A233" s="38"/>
      <c r="B233" s="18"/>
      <c r="C233" s="29"/>
      <c r="D233" s="35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>
        <f t="shared" si="1"/>
        <v>0</v>
      </c>
      <c r="AK233" s="36">
        <f t="shared" si="2"/>
        <v>0</v>
      </c>
      <c r="AL233" s="36">
        <f t="shared" si="3"/>
        <v>0</v>
      </c>
      <c r="AM233" s="36">
        <f t="shared" si="4"/>
        <v>0</v>
      </c>
      <c r="AN233" s="36">
        <f t="shared" si="5"/>
        <v>0</v>
      </c>
      <c r="AO233" s="36">
        <f t="shared" si="6"/>
        <v>0</v>
      </c>
      <c r="AP233" s="36">
        <f t="shared" si="7"/>
        <v>0</v>
      </c>
      <c r="AQ233" s="36">
        <f t="shared" si="8"/>
        <v>0</v>
      </c>
      <c r="AR233" s="36">
        <v>1.0</v>
      </c>
      <c r="AS233" s="36">
        <f t="shared" si="9"/>
        <v>0</v>
      </c>
      <c r="AT233" s="36">
        <v>2.0</v>
      </c>
      <c r="AU233" s="36">
        <f t="shared" si="10"/>
        <v>0</v>
      </c>
      <c r="AV233" s="36">
        <v>2.0</v>
      </c>
      <c r="AW233" s="37">
        <f t="shared" si="11"/>
        <v>0</v>
      </c>
      <c r="AX233" s="37">
        <f t="shared" si="12"/>
        <v>0</v>
      </c>
      <c r="AY233" s="36"/>
    </row>
    <row r="234" ht="15.75" customHeight="1">
      <c r="A234" s="38"/>
      <c r="B234" s="24"/>
      <c r="C234" s="31"/>
      <c r="D234" s="32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>
        <f t="shared" si="1"/>
        <v>0</v>
      </c>
      <c r="AK234" s="33">
        <f t="shared" si="2"/>
        <v>0</v>
      </c>
      <c r="AL234" s="33">
        <f t="shared" si="3"/>
        <v>0</v>
      </c>
      <c r="AM234" s="33">
        <f t="shared" si="4"/>
        <v>0</v>
      </c>
      <c r="AN234" s="33">
        <f t="shared" si="5"/>
        <v>0</v>
      </c>
      <c r="AO234" s="33">
        <f t="shared" si="6"/>
        <v>0</v>
      </c>
      <c r="AP234" s="33">
        <f t="shared" si="7"/>
        <v>0</v>
      </c>
      <c r="AQ234" s="33">
        <f t="shared" si="8"/>
        <v>0</v>
      </c>
      <c r="AR234" s="33">
        <v>1.0</v>
      </c>
      <c r="AS234" s="33">
        <f t="shared" si="9"/>
        <v>0</v>
      </c>
      <c r="AT234" s="33">
        <v>2.0</v>
      </c>
      <c r="AU234" s="33">
        <f t="shared" si="10"/>
        <v>0</v>
      </c>
      <c r="AV234" s="33">
        <v>2.0</v>
      </c>
      <c r="AW234" s="34">
        <f t="shared" si="11"/>
        <v>0</v>
      </c>
      <c r="AX234" s="34">
        <f t="shared" si="12"/>
        <v>0</v>
      </c>
      <c r="AY234" s="33"/>
    </row>
    <row r="235" ht="15.75" customHeight="1">
      <c r="A235" s="38"/>
      <c r="B235" s="18"/>
      <c r="C235" s="29"/>
      <c r="D235" s="35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>
        <f t="shared" si="1"/>
        <v>0</v>
      </c>
      <c r="AK235" s="36">
        <f t="shared" si="2"/>
        <v>0</v>
      </c>
      <c r="AL235" s="36">
        <f t="shared" si="3"/>
        <v>0</v>
      </c>
      <c r="AM235" s="36">
        <f t="shared" si="4"/>
        <v>0</v>
      </c>
      <c r="AN235" s="36">
        <f t="shared" si="5"/>
        <v>0</v>
      </c>
      <c r="AO235" s="36">
        <f t="shared" si="6"/>
        <v>0</v>
      </c>
      <c r="AP235" s="36">
        <f t="shared" si="7"/>
        <v>0</v>
      </c>
      <c r="AQ235" s="36">
        <f t="shared" si="8"/>
        <v>0</v>
      </c>
      <c r="AR235" s="36">
        <v>1.0</v>
      </c>
      <c r="AS235" s="36">
        <f t="shared" si="9"/>
        <v>0</v>
      </c>
      <c r="AT235" s="36">
        <v>2.0</v>
      </c>
      <c r="AU235" s="36">
        <f t="shared" si="10"/>
        <v>0</v>
      </c>
      <c r="AV235" s="36">
        <v>2.0</v>
      </c>
      <c r="AW235" s="37">
        <f t="shared" si="11"/>
        <v>0</v>
      </c>
      <c r="AX235" s="37">
        <f t="shared" si="12"/>
        <v>0</v>
      </c>
      <c r="AY235" s="36"/>
    </row>
    <row r="236" ht="15.75" customHeight="1">
      <c r="A236" s="38"/>
      <c r="B236" s="24"/>
      <c r="C236" s="31"/>
      <c r="D236" s="32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>
        <f t="shared" si="1"/>
        <v>0</v>
      </c>
      <c r="AK236" s="33">
        <f t="shared" si="2"/>
        <v>0</v>
      </c>
      <c r="AL236" s="33">
        <f t="shared" si="3"/>
        <v>0</v>
      </c>
      <c r="AM236" s="33">
        <f t="shared" si="4"/>
        <v>0</v>
      </c>
      <c r="AN236" s="33">
        <f t="shared" si="5"/>
        <v>0</v>
      </c>
      <c r="AO236" s="33">
        <f t="shared" si="6"/>
        <v>0</v>
      </c>
      <c r="AP236" s="33">
        <f t="shared" si="7"/>
        <v>0</v>
      </c>
      <c r="AQ236" s="33">
        <f t="shared" si="8"/>
        <v>0</v>
      </c>
      <c r="AR236" s="33">
        <v>1.0</v>
      </c>
      <c r="AS236" s="33">
        <f t="shared" si="9"/>
        <v>0</v>
      </c>
      <c r="AT236" s="33">
        <v>2.0</v>
      </c>
      <c r="AU236" s="33">
        <f t="shared" si="10"/>
        <v>0</v>
      </c>
      <c r="AV236" s="33">
        <v>2.0</v>
      </c>
      <c r="AW236" s="34">
        <f t="shared" si="11"/>
        <v>0</v>
      </c>
      <c r="AX236" s="34">
        <f t="shared" si="12"/>
        <v>0</v>
      </c>
      <c r="AY236" s="33"/>
    </row>
    <row r="237" ht="15.75" customHeight="1">
      <c r="A237" s="38"/>
      <c r="B237" s="18"/>
      <c r="C237" s="29"/>
      <c r="D237" s="3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>
        <f t="shared" si="1"/>
        <v>0</v>
      </c>
      <c r="AK237" s="36">
        <f t="shared" si="2"/>
        <v>0</v>
      </c>
      <c r="AL237" s="36">
        <f t="shared" si="3"/>
        <v>0</v>
      </c>
      <c r="AM237" s="36">
        <f t="shared" si="4"/>
        <v>0</v>
      </c>
      <c r="AN237" s="36">
        <f t="shared" si="5"/>
        <v>0</v>
      </c>
      <c r="AO237" s="36">
        <f t="shared" si="6"/>
        <v>0</v>
      </c>
      <c r="AP237" s="36">
        <f t="shared" si="7"/>
        <v>0</v>
      </c>
      <c r="AQ237" s="36">
        <f t="shared" si="8"/>
        <v>0</v>
      </c>
      <c r="AR237" s="36">
        <v>1.0</v>
      </c>
      <c r="AS237" s="36">
        <f t="shared" si="9"/>
        <v>0</v>
      </c>
      <c r="AT237" s="36">
        <v>2.0</v>
      </c>
      <c r="AU237" s="36">
        <f t="shared" si="10"/>
        <v>0</v>
      </c>
      <c r="AV237" s="36">
        <v>2.0</v>
      </c>
      <c r="AW237" s="37">
        <f t="shared" si="11"/>
        <v>0</v>
      </c>
      <c r="AX237" s="37">
        <f t="shared" si="12"/>
        <v>0</v>
      </c>
      <c r="AY237" s="36"/>
    </row>
    <row r="238" ht="15.75" customHeight="1">
      <c r="A238" s="38"/>
      <c r="B238" s="24"/>
      <c r="C238" s="31"/>
      <c r="D238" s="32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>
        <f t="shared" si="1"/>
        <v>0</v>
      </c>
      <c r="AK238" s="33">
        <f t="shared" si="2"/>
        <v>0</v>
      </c>
      <c r="AL238" s="33">
        <f t="shared" si="3"/>
        <v>0</v>
      </c>
      <c r="AM238" s="33">
        <f t="shared" si="4"/>
        <v>0</v>
      </c>
      <c r="AN238" s="33">
        <f t="shared" si="5"/>
        <v>0</v>
      </c>
      <c r="AO238" s="33">
        <f t="shared" si="6"/>
        <v>0</v>
      </c>
      <c r="AP238" s="33">
        <f t="shared" si="7"/>
        <v>0</v>
      </c>
      <c r="AQ238" s="33">
        <f t="shared" si="8"/>
        <v>0</v>
      </c>
      <c r="AR238" s="33">
        <v>1.0</v>
      </c>
      <c r="AS238" s="33">
        <f t="shared" si="9"/>
        <v>0</v>
      </c>
      <c r="AT238" s="33">
        <v>2.0</v>
      </c>
      <c r="AU238" s="33">
        <f t="shared" si="10"/>
        <v>0</v>
      </c>
      <c r="AV238" s="33">
        <v>2.0</v>
      </c>
      <c r="AW238" s="34">
        <f t="shared" si="11"/>
        <v>0</v>
      </c>
      <c r="AX238" s="34">
        <f t="shared" si="12"/>
        <v>0</v>
      </c>
      <c r="AY238" s="33"/>
    </row>
    <row r="239" ht="15.75" customHeight="1">
      <c r="A239" s="38"/>
      <c r="B239" s="18"/>
      <c r="C239" s="29"/>
      <c r="D239" s="35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>
        <f t="shared" si="1"/>
        <v>0</v>
      </c>
      <c r="AK239" s="36">
        <f t="shared" si="2"/>
        <v>0</v>
      </c>
      <c r="AL239" s="36">
        <f t="shared" si="3"/>
        <v>0</v>
      </c>
      <c r="AM239" s="36">
        <f t="shared" si="4"/>
        <v>0</v>
      </c>
      <c r="AN239" s="36">
        <f t="shared" si="5"/>
        <v>0</v>
      </c>
      <c r="AO239" s="36">
        <f t="shared" si="6"/>
        <v>0</v>
      </c>
      <c r="AP239" s="36">
        <f t="shared" si="7"/>
        <v>0</v>
      </c>
      <c r="AQ239" s="36">
        <f t="shared" si="8"/>
        <v>0</v>
      </c>
      <c r="AR239" s="36">
        <v>1.0</v>
      </c>
      <c r="AS239" s="36">
        <f t="shared" si="9"/>
        <v>0</v>
      </c>
      <c r="AT239" s="36">
        <v>2.0</v>
      </c>
      <c r="AU239" s="36">
        <f t="shared" si="10"/>
        <v>0</v>
      </c>
      <c r="AV239" s="36">
        <v>2.0</v>
      </c>
      <c r="AW239" s="37">
        <f t="shared" si="11"/>
        <v>0</v>
      </c>
      <c r="AX239" s="37">
        <f t="shared" si="12"/>
        <v>0</v>
      </c>
      <c r="AY239" s="36"/>
    </row>
    <row r="240" ht="15.75" customHeight="1">
      <c r="A240" s="38"/>
      <c r="B240" s="24"/>
      <c r="C240" s="31"/>
      <c r="D240" s="32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>
        <f t="shared" si="1"/>
        <v>0</v>
      </c>
      <c r="AK240" s="33">
        <f t="shared" si="2"/>
        <v>0</v>
      </c>
      <c r="AL240" s="33">
        <f t="shared" si="3"/>
        <v>0</v>
      </c>
      <c r="AM240" s="33">
        <f t="shared" si="4"/>
        <v>0</v>
      </c>
      <c r="AN240" s="33">
        <f t="shared" si="5"/>
        <v>0</v>
      </c>
      <c r="AO240" s="33">
        <f t="shared" si="6"/>
        <v>0</v>
      </c>
      <c r="AP240" s="33">
        <f t="shared" si="7"/>
        <v>0</v>
      </c>
      <c r="AQ240" s="33">
        <f t="shared" si="8"/>
        <v>0</v>
      </c>
      <c r="AR240" s="33">
        <v>1.0</v>
      </c>
      <c r="AS240" s="33">
        <f t="shared" si="9"/>
        <v>0</v>
      </c>
      <c r="AT240" s="33">
        <v>2.0</v>
      </c>
      <c r="AU240" s="33">
        <f t="shared" si="10"/>
        <v>0</v>
      </c>
      <c r="AV240" s="33">
        <v>2.0</v>
      </c>
      <c r="AW240" s="34">
        <f t="shared" si="11"/>
        <v>0</v>
      </c>
      <c r="AX240" s="34">
        <f t="shared" si="12"/>
        <v>0</v>
      </c>
      <c r="AY240" s="33"/>
    </row>
    <row r="241" ht="15.75" customHeight="1">
      <c r="A241" s="38"/>
      <c r="B241" s="18"/>
      <c r="C241" s="29"/>
      <c r="D241" s="35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>
        <f t="shared" si="1"/>
        <v>0</v>
      </c>
      <c r="AK241" s="36">
        <f t="shared" si="2"/>
        <v>0</v>
      </c>
      <c r="AL241" s="36">
        <f t="shared" si="3"/>
        <v>0</v>
      </c>
      <c r="AM241" s="36">
        <f t="shared" si="4"/>
        <v>0</v>
      </c>
      <c r="AN241" s="36">
        <f t="shared" si="5"/>
        <v>0</v>
      </c>
      <c r="AO241" s="36">
        <f t="shared" si="6"/>
        <v>0</v>
      </c>
      <c r="AP241" s="36">
        <f t="shared" si="7"/>
        <v>0</v>
      </c>
      <c r="AQ241" s="36">
        <f t="shared" si="8"/>
        <v>0</v>
      </c>
      <c r="AR241" s="36">
        <v>1.0</v>
      </c>
      <c r="AS241" s="36">
        <f t="shared" si="9"/>
        <v>0</v>
      </c>
      <c r="AT241" s="36">
        <v>2.0</v>
      </c>
      <c r="AU241" s="36">
        <f t="shared" si="10"/>
        <v>0</v>
      </c>
      <c r="AV241" s="36">
        <v>2.0</v>
      </c>
      <c r="AW241" s="37">
        <f t="shared" si="11"/>
        <v>0</v>
      </c>
      <c r="AX241" s="37">
        <f t="shared" si="12"/>
        <v>0</v>
      </c>
      <c r="AY241" s="36"/>
    </row>
    <row r="242" ht="15.75" customHeight="1">
      <c r="A242" s="38"/>
      <c r="B242" s="24"/>
      <c r="C242" s="31"/>
      <c r="D242" s="32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>
        <f t="shared" si="1"/>
        <v>0</v>
      </c>
      <c r="AK242" s="33">
        <f t="shared" si="2"/>
        <v>0</v>
      </c>
      <c r="AL242" s="33">
        <f t="shared" si="3"/>
        <v>0</v>
      </c>
      <c r="AM242" s="33">
        <f t="shared" si="4"/>
        <v>0</v>
      </c>
      <c r="AN242" s="33">
        <f t="shared" si="5"/>
        <v>0</v>
      </c>
      <c r="AO242" s="33">
        <f t="shared" si="6"/>
        <v>0</v>
      </c>
      <c r="AP242" s="33">
        <f t="shared" si="7"/>
        <v>0</v>
      </c>
      <c r="AQ242" s="33">
        <f t="shared" si="8"/>
        <v>0</v>
      </c>
      <c r="AR242" s="33">
        <v>1.0</v>
      </c>
      <c r="AS242" s="33">
        <f t="shared" si="9"/>
        <v>0</v>
      </c>
      <c r="AT242" s="33">
        <v>2.0</v>
      </c>
      <c r="AU242" s="33">
        <f t="shared" si="10"/>
        <v>0</v>
      </c>
      <c r="AV242" s="33">
        <v>2.0</v>
      </c>
      <c r="AW242" s="34">
        <f t="shared" si="11"/>
        <v>0</v>
      </c>
      <c r="AX242" s="34">
        <f t="shared" si="12"/>
        <v>0</v>
      </c>
      <c r="AY242" s="33"/>
    </row>
    <row r="243" ht="15.75" customHeight="1">
      <c r="A243" s="38"/>
      <c r="B243" s="18"/>
      <c r="C243" s="29"/>
      <c r="D243" s="3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>
        <f t="shared" si="1"/>
        <v>0</v>
      </c>
      <c r="AK243" s="36">
        <f t="shared" si="2"/>
        <v>0</v>
      </c>
      <c r="AL243" s="36">
        <f t="shared" si="3"/>
        <v>0</v>
      </c>
      <c r="AM243" s="36">
        <f t="shared" si="4"/>
        <v>0</v>
      </c>
      <c r="AN243" s="36">
        <f t="shared" si="5"/>
        <v>0</v>
      </c>
      <c r="AO243" s="36">
        <f t="shared" si="6"/>
        <v>0</v>
      </c>
      <c r="AP243" s="36">
        <f t="shared" si="7"/>
        <v>0</v>
      </c>
      <c r="AQ243" s="36">
        <f t="shared" si="8"/>
        <v>0</v>
      </c>
      <c r="AR243" s="36">
        <v>1.0</v>
      </c>
      <c r="AS243" s="36">
        <f t="shared" si="9"/>
        <v>0</v>
      </c>
      <c r="AT243" s="36">
        <v>2.0</v>
      </c>
      <c r="AU243" s="36">
        <f t="shared" si="10"/>
        <v>0</v>
      </c>
      <c r="AV243" s="36">
        <v>2.0</v>
      </c>
      <c r="AW243" s="37">
        <f t="shared" si="11"/>
        <v>0</v>
      </c>
      <c r="AX243" s="37">
        <f t="shared" si="12"/>
        <v>0</v>
      </c>
      <c r="AY243" s="36"/>
    </row>
    <row r="244" ht="15.75" customHeight="1">
      <c r="A244" s="38"/>
      <c r="B244" s="24"/>
      <c r="C244" s="31"/>
      <c r="D244" s="32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>
        <f t="shared" si="1"/>
        <v>0</v>
      </c>
      <c r="AK244" s="33">
        <f t="shared" si="2"/>
        <v>0</v>
      </c>
      <c r="AL244" s="33">
        <f t="shared" si="3"/>
        <v>0</v>
      </c>
      <c r="AM244" s="33">
        <f t="shared" si="4"/>
        <v>0</v>
      </c>
      <c r="AN244" s="33">
        <f t="shared" si="5"/>
        <v>0</v>
      </c>
      <c r="AO244" s="33">
        <f t="shared" si="6"/>
        <v>0</v>
      </c>
      <c r="AP244" s="33">
        <f t="shared" si="7"/>
        <v>0</v>
      </c>
      <c r="AQ244" s="33">
        <f t="shared" si="8"/>
        <v>0</v>
      </c>
      <c r="AR244" s="33">
        <v>1.0</v>
      </c>
      <c r="AS244" s="33">
        <f t="shared" si="9"/>
        <v>0</v>
      </c>
      <c r="AT244" s="33">
        <v>2.0</v>
      </c>
      <c r="AU244" s="33">
        <f t="shared" si="10"/>
        <v>0</v>
      </c>
      <c r="AV244" s="33">
        <v>2.0</v>
      </c>
      <c r="AW244" s="34">
        <f t="shared" si="11"/>
        <v>0</v>
      </c>
      <c r="AX244" s="34">
        <f t="shared" si="12"/>
        <v>0</v>
      </c>
      <c r="AY244" s="33"/>
    </row>
    <row r="245" ht="15.75" customHeight="1">
      <c r="A245" s="38"/>
      <c r="B245" s="18"/>
      <c r="C245" s="29"/>
      <c r="D245" s="3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>
        <f t="shared" si="1"/>
        <v>0</v>
      </c>
      <c r="AK245" s="36">
        <f t="shared" si="2"/>
        <v>0</v>
      </c>
      <c r="AL245" s="36">
        <f t="shared" si="3"/>
        <v>0</v>
      </c>
      <c r="AM245" s="36">
        <f t="shared" si="4"/>
        <v>0</v>
      </c>
      <c r="AN245" s="36">
        <f t="shared" si="5"/>
        <v>0</v>
      </c>
      <c r="AO245" s="36">
        <f t="shared" si="6"/>
        <v>0</v>
      </c>
      <c r="AP245" s="36">
        <f t="shared" si="7"/>
        <v>0</v>
      </c>
      <c r="AQ245" s="36">
        <f t="shared" si="8"/>
        <v>0</v>
      </c>
      <c r="AR245" s="36">
        <v>1.0</v>
      </c>
      <c r="AS245" s="36">
        <f t="shared" si="9"/>
        <v>0</v>
      </c>
      <c r="AT245" s="36">
        <v>2.0</v>
      </c>
      <c r="AU245" s="36">
        <f t="shared" si="10"/>
        <v>0</v>
      </c>
      <c r="AV245" s="36">
        <v>2.0</v>
      </c>
      <c r="AW245" s="37">
        <f t="shared" si="11"/>
        <v>0</v>
      </c>
      <c r="AX245" s="37">
        <f t="shared" si="12"/>
        <v>0</v>
      </c>
      <c r="AY245" s="36"/>
    </row>
    <row r="246" ht="15.75" customHeight="1">
      <c r="A246" s="38"/>
      <c r="B246" s="24"/>
      <c r="C246" s="31"/>
      <c r="D246" s="32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>
        <f t="shared" si="1"/>
        <v>0</v>
      </c>
      <c r="AK246" s="33">
        <f t="shared" si="2"/>
        <v>0</v>
      </c>
      <c r="AL246" s="33">
        <f t="shared" si="3"/>
        <v>0</v>
      </c>
      <c r="AM246" s="33">
        <f t="shared" si="4"/>
        <v>0</v>
      </c>
      <c r="AN246" s="33">
        <f t="shared" si="5"/>
        <v>0</v>
      </c>
      <c r="AO246" s="33">
        <f t="shared" si="6"/>
        <v>0</v>
      </c>
      <c r="AP246" s="33">
        <f t="shared" si="7"/>
        <v>0</v>
      </c>
      <c r="AQ246" s="33">
        <f t="shared" si="8"/>
        <v>0</v>
      </c>
      <c r="AR246" s="33">
        <v>1.0</v>
      </c>
      <c r="AS246" s="33">
        <f t="shared" si="9"/>
        <v>0</v>
      </c>
      <c r="AT246" s="33">
        <v>2.0</v>
      </c>
      <c r="AU246" s="33">
        <f t="shared" si="10"/>
        <v>0</v>
      </c>
      <c r="AV246" s="33">
        <v>2.0</v>
      </c>
      <c r="AW246" s="34">
        <f t="shared" si="11"/>
        <v>0</v>
      </c>
      <c r="AX246" s="34">
        <f t="shared" si="12"/>
        <v>0</v>
      </c>
      <c r="AY246" s="33"/>
    </row>
    <row r="247" ht="15.75" customHeight="1">
      <c r="A247" s="38"/>
      <c r="B247" s="18"/>
      <c r="C247" s="29"/>
      <c r="D247" s="3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>
        <f t="shared" si="1"/>
        <v>0</v>
      </c>
      <c r="AK247" s="36">
        <f t="shared" si="2"/>
        <v>0</v>
      </c>
      <c r="AL247" s="36">
        <f t="shared" si="3"/>
        <v>0</v>
      </c>
      <c r="AM247" s="36">
        <f t="shared" si="4"/>
        <v>0</v>
      </c>
      <c r="AN247" s="36">
        <f t="shared" si="5"/>
        <v>0</v>
      </c>
      <c r="AO247" s="36">
        <f t="shared" si="6"/>
        <v>0</v>
      </c>
      <c r="AP247" s="36">
        <f t="shared" si="7"/>
        <v>0</v>
      </c>
      <c r="AQ247" s="36">
        <f t="shared" si="8"/>
        <v>0</v>
      </c>
      <c r="AR247" s="36">
        <v>1.0</v>
      </c>
      <c r="AS247" s="36">
        <f t="shared" si="9"/>
        <v>0</v>
      </c>
      <c r="AT247" s="36">
        <v>2.0</v>
      </c>
      <c r="AU247" s="36">
        <f t="shared" si="10"/>
        <v>0</v>
      </c>
      <c r="AV247" s="36">
        <v>2.0</v>
      </c>
      <c r="AW247" s="37">
        <f t="shared" si="11"/>
        <v>0</v>
      </c>
      <c r="AX247" s="37">
        <f t="shared" si="12"/>
        <v>0</v>
      </c>
      <c r="AY247" s="36"/>
    </row>
    <row r="248" ht="15.75" customHeight="1">
      <c r="A248" s="38"/>
      <c r="B248" s="24"/>
      <c r="C248" s="31"/>
      <c r="D248" s="32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>
        <f t="shared" si="1"/>
        <v>0</v>
      </c>
      <c r="AK248" s="33">
        <f t="shared" si="2"/>
        <v>0</v>
      </c>
      <c r="AL248" s="33">
        <f t="shared" si="3"/>
        <v>0</v>
      </c>
      <c r="AM248" s="33">
        <f t="shared" si="4"/>
        <v>0</v>
      </c>
      <c r="AN248" s="33">
        <f t="shared" si="5"/>
        <v>0</v>
      </c>
      <c r="AO248" s="33">
        <f t="shared" si="6"/>
        <v>0</v>
      </c>
      <c r="AP248" s="33">
        <f t="shared" si="7"/>
        <v>0</v>
      </c>
      <c r="AQ248" s="33">
        <f t="shared" si="8"/>
        <v>0</v>
      </c>
      <c r="AR248" s="33">
        <v>1.0</v>
      </c>
      <c r="AS248" s="33">
        <f t="shared" si="9"/>
        <v>0</v>
      </c>
      <c r="AT248" s="33">
        <v>2.0</v>
      </c>
      <c r="AU248" s="33">
        <f t="shared" si="10"/>
        <v>0</v>
      </c>
      <c r="AV248" s="33">
        <v>2.0</v>
      </c>
      <c r="AW248" s="34">
        <f t="shared" si="11"/>
        <v>0</v>
      </c>
      <c r="AX248" s="34">
        <f t="shared" si="12"/>
        <v>0</v>
      </c>
      <c r="AY248" s="33"/>
    </row>
    <row r="249" ht="15.75" customHeight="1">
      <c r="A249" s="38"/>
      <c r="B249" s="18"/>
      <c r="C249" s="29"/>
      <c r="D249" s="3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>
        <f t="shared" si="1"/>
        <v>0</v>
      </c>
      <c r="AK249" s="36">
        <f t="shared" si="2"/>
        <v>0</v>
      </c>
      <c r="AL249" s="36">
        <f t="shared" si="3"/>
        <v>0</v>
      </c>
      <c r="AM249" s="36">
        <f t="shared" si="4"/>
        <v>0</v>
      </c>
      <c r="AN249" s="36">
        <f t="shared" si="5"/>
        <v>0</v>
      </c>
      <c r="AO249" s="36">
        <f t="shared" si="6"/>
        <v>0</v>
      </c>
      <c r="AP249" s="36">
        <f t="shared" si="7"/>
        <v>0</v>
      </c>
      <c r="AQ249" s="36">
        <f t="shared" si="8"/>
        <v>0</v>
      </c>
      <c r="AR249" s="36">
        <v>1.0</v>
      </c>
      <c r="AS249" s="36">
        <f t="shared" si="9"/>
        <v>0</v>
      </c>
      <c r="AT249" s="36">
        <v>2.0</v>
      </c>
      <c r="AU249" s="36">
        <f t="shared" si="10"/>
        <v>0</v>
      </c>
      <c r="AV249" s="36">
        <v>2.0</v>
      </c>
      <c r="AW249" s="37">
        <f t="shared" si="11"/>
        <v>0</v>
      </c>
      <c r="AX249" s="37">
        <f t="shared" si="12"/>
        <v>0</v>
      </c>
      <c r="AY249" s="36"/>
    </row>
    <row r="250" ht="15.75" customHeight="1">
      <c r="A250" s="38"/>
      <c r="B250" s="24"/>
      <c r="C250" s="31"/>
      <c r="D250" s="32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>
        <f t="shared" si="1"/>
        <v>0</v>
      </c>
      <c r="AK250" s="33">
        <f t="shared" si="2"/>
        <v>0</v>
      </c>
      <c r="AL250" s="33">
        <f t="shared" si="3"/>
        <v>0</v>
      </c>
      <c r="AM250" s="33">
        <f t="shared" si="4"/>
        <v>0</v>
      </c>
      <c r="AN250" s="33">
        <f t="shared" si="5"/>
        <v>0</v>
      </c>
      <c r="AO250" s="33">
        <f t="shared" si="6"/>
        <v>0</v>
      </c>
      <c r="AP250" s="33">
        <f t="shared" si="7"/>
        <v>0</v>
      </c>
      <c r="AQ250" s="33">
        <f t="shared" si="8"/>
        <v>0</v>
      </c>
      <c r="AR250" s="33">
        <v>1.0</v>
      </c>
      <c r="AS250" s="33">
        <f t="shared" si="9"/>
        <v>0</v>
      </c>
      <c r="AT250" s="33">
        <v>2.0</v>
      </c>
      <c r="AU250" s="33">
        <f t="shared" si="10"/>
        <v>0</v>
      </c>
      <c r="AV250" s="33">
        <v>2.0</v>
      </c>
      <c r="AW250" s="34">
        <f t="shared" si="11"/>
        <v>0</v>
      </c>
      <c r="AX250" s="34">
        <f t="shared" si="12"/>
        <v>0</v>
      </c>
      <c r="AY250" s="33"/>
    </row>
    <row r="251" ht="15.75" customHeight="1">
      <c r="A251" s="38"/>
      <c r="B251" s="18"/>
      <c r="C251" s="29"/>
      <c r="D251" s="3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>
        <f t="shared" si="1"/>
        <v>0</v>
      </c>
      <c r="AK251" s="36">
        <f t="shared" si="2"/>
        <v>0</v>
      </c>
      <c r="AL251" s="36">
        <f t="shared" si="3"/>
        <v>0</v>
      </c>
      <c r="AM251" s="36">
        <f t="shared" si="4"/>
        <v>0</v>
      </c>
      <c r="AN251" s="36">
        <f t="shared" si="5"/>
        <v>0</v>
      </c>
      <c r="AO251" s="36">
        <f t="shared" si="6"/>
        <v>0</v>
      </c>
      <c r="AP251" s="36">
        <f t="shared" si="7"/>
        <v>0</v>
      </c>
      <c r="AQ251" s="36">
        <f t="shared" si="8"/>
        <v>0</v>
      </c>
      <c r="AR251" s="36">
        <v>1.0</v>
      </c>
      <c r="AS251" s="36">
        <f t="shared" si="9"/>
        <v>0</v>
      </c>
      <c r="AT251" s="36">
        <v>2.0</v>
      </c>
      <c r="AU251" s="36">
        <f t="shared" si="10"/>
        <v>0</v>
      </c>
      <c r="AV251" s="36">
        <v>2.0</v>
      </c>
      <c r="AW251" s="37">
        <f t="shared" si="11"/>
        <v>0</v>
      </c>
      <c r="AX251" s="37">
        <f t="shared" si="12"/>
        <v>0</v>
      </c>
      <c r="AY251" s="36"/>
    </row>
    <row r="252" ht="15.75" customHeight="1">
      <c r="A252" s="38"/>
      <c r="B252" s="24"/>
      <c r="C252" s="31"/>
      <c r="D252" s="32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>
        <f t="shared" si="1"/>
        <v>0</v>
      </c>
      <c r="AK252" s="33">
        <f t="shared" si="2"/>
        <v>0</v>
      </c>
      <c r="AL252" s="33">
        <f t="shared" si="3"/>
        <v>0</v>
      </c>
      <c r="AM252" s="33">
        <f t="shared" si="4"/>
        <v>0</v>
      </c>
      <c r="AN252" s="33">
        <f t="shared" si="5"/>
        <v>0</v>
      </c>
      <c r="AO252" s="33">
        <f t="shared" si="6"/>
        <v>0</v>
      </c>
      <c r="AP252" s="33">
        <f t="shared" si="7"/>
        <v>0</v>
      </c>
      <c r="AQ252" s="33">
        <f t="shared" si="8"/>
        <v>0</v>
      </c>
      <c r="AR252" s="33">
        <v>1.0</v>
      </c>
      <c r="AS252" s="33">
        <f t="shared" si="9"/>
        <v>0</v>
      </c>
      <c r="AT252" s="33">
        <v>2.0</v>
      </c>
      <c r="AU252" s="33">
        <f t="shared" si="10"/>
        <v>0</v>
      </c>
      <c r="AV252" s="33">
        <v>2.0</v>
      </c>
      <c r="AW252" s="34">
        <f t="shared" si="11"/>
        <v>0</v>
      </c>
      <c r="AX252" s="34">
        <f t="shared" si="12"/>
        <v>0</v>
      </c>
      <c r="AY252" s="33"/>
    </row>
    <row r="253" ht="15.75" customHeight="1">
      <c r="A253" s="38"/>
      <c r="B253" s="18"/>
      <c r="C253" s="29"/>
      <c r="D253" s="3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>
        <f t="shared" si="1"/>
        <v>0</v>
      </c>
      <c r="AK253" s="36">
        <f t="shared" si="2"/>
        <v>0</v>
      </c>
      <c r="AL253" s="36">
        <f t="shared" si="3"/>
        <v>0</v>
      </c>
      <c r="AM253" s="36">
        <f t="shared" si="4"/>
        <v>0</v>
      </c>
      <c r="AN253" s="36">
        <f t="shared" si="5"/>
        <v>0</v>
      </c>
      <c r="AO253" s="36">
        <f t="shared" si="6"/>
        <v>0</v>
      </c>
      <c r="AP253" s="36">
        <f t="shared" si="7"/>
        <v>0</v>
      </c>
      <c r="AQ253" s="36">
        <f t="shared" si="8"/>
        <v>0</v>
      </c>
      <c r="AR253" s="36">
        <v>1.0</v>
      </c>
      <c r="AS253" s="36">
        <f t="shared" si="9"/>
        <v>0</v>
      </c>
      <c r="AT253" s="36">
        <v>2.0</v>
      </c>
      <c r="AU253" s="36">
        <f t="shared" si="10"/>
        <v>0</v>
      </c>
      <c r="AV253" s="36">
        <v>2.0</v>
      </c>
      <c r="AW253" s="37">
        <f t="shared" si="11"/>
        <v>0</v>
      </c>
      <c r="AX253" s="37">
        <f t="shared" si="12"/>
        <v>0</v>
      </c>
      <c r="AY253" s="36"/>
    </row>
    <row r="254" ht="15.75" customHeight="1">
      <c r="A254" s="38"/>
      <c r="B254" s="24"/>
      <c r="C254" s="31"/>
      <c r="D254" s="32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>
        <f t="shared" si="1"/>
        <v>0</v>
      </c>
      <c r="AK254" s="33">
        <f t="shared" si="2"/>
        <v>0</v>
      </c>
      <c r="AL254" s="33">
        <f t="shared" si="3"/>
        <v>0</v>
      </c>
      <c r="AM254" s="33">
        <f t="shared" si="4"/>
        <v>0</v>
      </c>
      <c r="AN254" s="33">
        <f t="shared" si="5"/>
        <v>0</v>
      </c>
      <c r="AO254" s="33">
        <f t="shared" si="6"/>
        <v>0</v>
      </c>
      <c r="AP254" s="33">
        <f t="shared" si="7"/>
        <v>0</v>
      </c>
      <c r="AQ254" s="33">
        <f t="shared" si="8"/>
        <v>0</v>
      </c>
      <c r="AR254" s="33">
        <v>1.0</v>
      </c>
      <c r="AS254" s="33">
        <f t="shared" si="9"/>
        <v>0</v>
      </c>
      <c r="AT254" s="33">
        <v>2.0</v>
      </c>
      <c r="AU254" s="33">
        <f t="shared" si="10"/>
        <v>0</v>
      </c>
      <c r="AV254" s="33">
        <v>2.0</v>
      </c>
      <c r="AW254" s="34">
        <f t="shared" si="11"/>
        <v>0</v>
      </c>
      <c r="AX254" s="34">
        <f t="shared" si="12"/>
        <v>0</v>
      </c>
      <c r="AY254" s="33"/>
    </row>
    <row r="255" ht="15.75" customHeight="1">
      <c r="A255" s="38"/>
      <c r="B255" s="18"/>
      <c r="C255" s="29"/>
      <c r="D255" s="3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>
        <f t="shared" si="1"/>
        <v>0</v>
      </c>
      <c r="AK255" s="36">
        <f t="shared" si="2"/>
        <v>0</v>
      </c>
      <c r="AL255" s="36">
        <f t="shared" si="3"/>
        <v>0</v>
      </c>
      <c r="AM255" s="36">
        <f t="shared" si="4"/>
        <v>0</v>
      </c>
      <c r="AN255" s="36">
        <f t="shared" si="5"/>
        <v>0</v>
      </c>
      <c r="AO255" s="36">
        <f t="shared" si="6"/>
        <v>0</v>
      </c>
      <c r="AP255" s="36">
        <f t="shared" si="7"/>
        <v>0</v>
      </c>
      <c r="AQ255" s="36">
        <f t="shared" si="8"/>
        <v>0</v>
      </c>
      <c r="AR255" s="36">
        <v>1.0</v>
      </c>
      <c r="AS255" s="36">
        <f t="shared" si="9"/>
        <v>0</v>
      </c>
      <c r="AT255" s="36">
        <v>2.0</v>
      </c>
      <c r="AU255" s="36">
        <f t="shared" si="10"/>
        <v>0</v>
      </c>
      <c r="AV255" s="36">
        <v>2.0</v>
      </c>
      <c r="AW255" s="37">
        <f t="shared" si="11"/>
        <v>0</v>
      </c>
      <c r="AX255" s="37">
        <f t="shared" si="12"/>
        <v>0</v>
      </c>
      <c r="AY255" s="36"/>
    </row>
    <row r="256" ht="15.75" customHeight="1">
      <c r="A256" s="38"/>
      <c r="B256" s="24"/>
      <c r="C256" s="31"/>
      <c r="D256" s="32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>
        <f t="shared" si="1"/>
        <v>0</v>
      </c>
      <c r="AK256" s="33">
        <f t="shared" si="2"/>
        <v>0</v>
      </c>
      <c r="AL256" s="33">
        <f t="shared" si="3"/>
        <v>0</v>
      </c>
      <c r="AM256" s="33">
        <f t="shared" si="4"/>
        <v>0</v>
      </c>
      <c r="AN256" s="33">
        <f t="shared" si="5"/>
        <v>0</v>
      </c>
      <c r="AO256" s="33">
        <f t="shared" si="6"/>
        <v>0</v>
      </c>
      <c r="AP256" s="33">
        <f t="shared" si="7"/>
        <v>0</v>
      </c>
      <c r="AQ256" s="33">
        <f t="shared" si="8"/>
        <v>0</v>
      </c>
      <c r="AR256" s="33">
        <v>1.0</v>
      </c>
      <c r="AS256" s="33">
        <f t="shared" si="9"/>
        <v>0</v>
      </c>
      <c r="AT256" s="33">
        <v>2.0</v>
      </c>
      <c r="AU256" s="33">
        <f t="shared" si="10"/>
        <v>0</v>
      </c>
      <c r="AV256" s="33">
        <v>2.0</v>
      </c>
      <c r="AW256" s="34">
        <f t="shared" si="11"/>
        <v>0</v>
      </c>
      <c r="AX256" s="34">
        <f t="shared" si="12"/>
        <v>0</v>
      </c>
      <c r="AY256" s="33"/>
    </row>
    <row r="257" ht="15.75" customHeight="1">
      <c r="A257" s="38"/>
      <c r="B257" s="18"/>
      <c r="C257" s="29"/>
      <c r="D257" s="3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>
        <f t="shared" si="1"/>
        <v>0</v>
      </c>
      <c r="AK257" s="36">
        <f t="shared" si="2"/>
        <v>0</v>
      </c>
      <c r="AL257" s="36">
        <f t="shared" si="3"/>
        <v>0</v>
      </c>
      <c r="AM257" s="36">
        <f t="shared" si="4"/>
        <v>0</v>
      </c>
      <c r="AN257" s="36">
        <f t="shared" si="5"/>
        <v>0</v>
      </c>
      <c r="AO257" s="36">
        <f t="shared" si="6"/>
        <v>0</v>
      </c>
      <c r="AP257" s="36">
        <f t="shared" si="7"/>
        <v>0</v>
      </c>
      <c r="AQ257" s="36">
        <f t="shared" si="8"/>
        <v>0</v>
      </c>
      <c r="AR257" s="36">
        <v>1.0</v>
      </c>
      <c r="AS257" s="36">
        <f t="shared" si="9"/>
        <v>0</v>
      </c>
      <c r="AT257" s="36">
        <v>2.0</v>
      </c>
      <c r="AU257" s="36">
        <f t="shared" si="10"/>
        <v>0</v>
      </c>
      <c r="AV257" s="36">
        <v>2.0</v>
      </c>
      <c r="AW257" s="37">
        <f t="shared" si="11"/>
        <v>0</v>
      </c>
      <c r="AX257" s="37">
        <f t="shared" si="12"/>
        <v>0</v>
      </c>
      <c r="AY257" s="36"/>
    </row>
    <row r="258" ht="15.75" customHeight="1">
      <c r="A258" s="38"/>
      <c r="B258" s="24"/>
      <c r="C258" s="31"/>
      <c r="D258" s="32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>
        <f t="shared" si="1"/>
        <v>0</v>
      </c>
      <c r="AK258" s="33">
        <f t="shared" si="2"/>
        <v>0</v>
      </c>
      <c r="AL258" s="33">
        <f t="shared" si="3"/>
        <v>0</v>
      </c>
      <c r="AM258" s="33">
        <f t="shared" si="4"/>
        <v>0</v>
      </c>
      <c r="AN258" s="33">
        <f t="shared" si="5"/>
        <v>0</v>
      </c>
      <c r="AO258" s="33">
        <f t="shared" si="6"/>
        <v>0</v>
      </c>
      <c r="AP258" s="33">
        <f t="shared" si="7"/>
        <v>0</v>
      </c>
      <c r="AQ258" s="33">
        <f t="shared" si="8"/>
        <v>0</v>
      </c>
      <c r="AR258" s="33">
        <v>1.0</v>
      </c>
      <c r="AS258" s="33">
        <f t="shared" si="9"/>
        <v>0</v>
      </c>
      <c r="AT258" s="33">
        <v>2.0</v>
      </c>
      <c r="AU258" s="33">
        <f t="shared" si="10"/>
        <v>0</v>
      </c>
      <c r="AV258" s="33">
        <v>2.0</v>
      </c>
      <c r="AW258" s="34">
        <f t="shared" si="11"/>
        <v>0</v>
      </c>
      <c r="AX258" s="34">
        <f t="shared" si="12"/>
        <v>0</v>
      </c>
      <c r="AY258" s="33"/>
    </row>
    <row r="259" ht="15.75" customHeight="1">
      <c r="A259" s="38"/>
      <c r="B259" s="18"/>
      <c r="C259" s="29"/>
      <c r="D259" s="3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>
        <f t="shared" si="1"/>
        <v>0</v>
      </c>
      <c r="AK259" s="36">
        <f t="shared" si="2"/>
        <v>0</v>
      </c>
      <c r="AL259" s="36">
        <f t="shared" si="3"/>
        <v>0</v>
      </c>
      <c r="AM259" s="36">
        <f t="shared" si="4"/>
        <v>0</v>
      </c>
      <c r="AN259" s="36">
        <f t="shared" si="5"/>
        <v>0</v>
      </c>
      <c r="AO259" s="36">
        <f t="shared" si="6"/>
        <v>0</v>
      </c>
      <c r="AP259" s="36">
        <f t="shared" si="7"/>
        <v>0</v>
      </c>
      <c r="AQ259" s="36">
        <f t="shared" si="8"/>
        <v>0</v>
      </c>
      <c r="AR259" s="36">
        <v>1.0</v>
      </c>
      <c r="AS259" s="36">
        <f t="shared" si="9"/>
        <v>0</v>
      </c>
      <c r="AT259" s="36">
        <v>2.0</v>
      </c>
      <c r="AU259" s="36">
        <f t="shared" si="10"/>
        <v>0</v>
      </c>
      <c r="AV259" s="36">
        <v>2.0</v>
      </c>
      <c r="AW259" s="37">
        <f t="shared" si="11"/>
        <v>0</v>
      </c>
      <c r="AX259" s="37">
        <f t="shared" si="12"/>
        <v>0</v>
      </c>
      <c r="AY259" s="36"/>
    </row>
    <row r="260" ht="15.75" customHeight="1">
      <c r="A260" s="38"/>
      <c r="B260" s="24"/>
      <c r="C260" s="31"/>
      <c r="D260" s="32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>
        <f t="shared" si="1"/>
        <v>0</v>
      </c>
      <c r="AK260" s="33">
        <f t="shared" si="2"/>
        <v>0</v>
      </c>
      <c r="AL260" s="33">
        <f t="shared" si="3"/>
        <v>0</v>
      </c>
      <c r="AM260" s="33">
        <f t="shared" si="4"/>
        <v>0</v>
      </c>
      <c r="AN260" s="33">
        <f t="shared" si="5"/>
        <v>0</v>
      </c>
      <c r="AO260" s="33">
        <f t="shared" si="6"/>
        <v>0</v>
      </c>
      <c r="AP260" s="33">
        <f t="shared" si="7"/>
        <v>0</v>
      </c>
      <c r="AQ260" s="33">
        <f t="shared" si="8"/>
        <v>0</v>
      </c>
      <c r="AR260" s="33">
        <v>1.0</v>
      </c>
      <c r="AS260" s="33">
        <f t="shared" si="9"/>
        <v>0</v>
      </c>
      <c r="AT260" s="33">
        <v>2.0</v>
      </c>
      <c r="AU260" s="33">
        <f t="shared" si="10"/>
        <v>0</v>
      </c>
      <c r="AV260" s="33">
        <v>2.0</v>
      </c>
      <c r="AW260" s="34">
        <f t="shared" si="11"/>
        <v>0</v>
      </c>
      <c r="AX260" s="34">
        <f t="shared" si="12"/>
        <v>0</v>
      </c>
      <c r="AY260" s="33"/>
    </row>
    <row r="261" ht="15.75" customHeight="1">
      <c r="A261" s="38"/>
      <c r="B261" s="18"/>
      <c r="C261" s="29"/>
      <c r="D261" s="3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>
        <f t="shared" si="1"/>
        <v>0</v>
      </c>
      <c r="AK261" s="36">
        <f t="shared" si="2"/>
        <v>0</v>
      </c>
      <c r="AL261" s="36">
        <f t="shared" si="3"/>
        <v>0</v>
      </c>
      <c r="AM261" s="36">
        <f t="shared" si="4"/>
        <v>0</v>
      </c>
      <c r="AN261" s="36">
        <f t="shared" si="5"/>
        <v>0</v>
      </c>
      <c r="AO261" s="36">
        <f t="shared" si="6"/>
        <v>0</v>
      </c>
      <c r="AP261" s="36">
        <f t="shared" si="7"/>
        <v>0</v>
      </c>
      <c r="AQ261" s="36">
        <f t="shared" si="8"/>
        <v>0</v>
      </c>
      <c r="AR261" s="36">
        <v>1.0</v>
      </c>
      <c r="AS261" s="36">
        <f t="shared" si="9"/>
        <v>0</v>
      </c>
      <c r="AT261" s="36">
        <v>2.0</v>
      </c>
      <c r="AU261" s="36">
        <f t="shared" si="10"/>
        <v>0</v>
      </c>
      <c r="AV261" s="36">
        <v>2.0</v>
      </c>
      <c r="AW261" s="37">
        <f t="shared" si="11"/>
        <v>0</v>
      </c>
      <c r="AX261" s="37">
        <f t="shared" si="12"/>
        <v>0</v>
      </c>
      <c r="AY261" s="36"/>
    </row>
    <row r="262" ht="15.75" customHeight="1">
      <c r="A262" s="38"/>
      <c r="B262" s="24"/>
      <c r="C262" s="31"/>
      <c r="D262" s="32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>
        <f t="shared" si="1"/>
        <v>0</v>
      </c>
      <c r="AK262" s="33">
        <f t="shared" si="2"/>
        <v>0</v>
      </c>
      <c r="AL262" s="33">
        <f t="shared" si="3"/>
        <v>0</v>
      </c>
      <c r="AM262" s="33">
        <f t="shared" si="4"/>
        <v>0</v>
      </c>
      <c r="AN262" s="33">
        <f t="shared" si="5"/>
        <v>0</v>
      </c>
      <c r="AO262" s="33">
        <f t="shared" si="6"/>
        <v>0</v>
      </c>
      <c r="AP262" s="33">
        <f t="shared" si="7"/>
        <v>0</v>
      </c>
      <c r="AQ262" s="33">
        <f t="shared" si="8"/>
        <v>0</v>
      </c>
      <c r="AR262" s="33">
        <v>1.0</v>
      </c>
      <c r="AS262" s="33">
        <f t="shared" si="9"/>
        <v>0</v>
      </c>
      <c r="AT262" s="33">
        <v>2.0</v>
      </c>
      <c r="AU262" s="33">
        <f t="shared" si="10"/>
        <v>0</v>
      </c>
      <c r="AV262" s="33">
        <v>2.0</v>
      </c>
      <c r="AW262" s="34">
        <f t="shared" si="11"/>
        <v>0</v>
      </c>
      <c r="AX262" s="34">
        <f t="shared" si="12"/>
        <v>0</v>
      </c>
      <c r="AY262" s="33"/>
    </row>
    <row r="263" ht="15.75" customHeight="1">
      <c r="A263" s="38"/>
      <c r="B263" s="18"/>
      <c r="C263" s="29"/>
      <c r="D263" s="3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>
        <f t="shared" si="1"/>
        <v>0</v>
      </c>
      <c r="AK263" s="36">
        <f t="shared" si="2"/>
        <v>0</v>
      </c>
      <c r="AL263" s="36">
        <f t="shared" si="3"/>
        <v>0</v>
      </c>
      <c r="AM263" s="36">
        <f t="shared" si="4"/>
        <v>0</v>
      </c>
      <c r="AN263" s="36">
        <f t="shared" si="5"/>
        <v>0</v>
      </c>
      <c r="AO263" s="36">
        <f t="shared" si="6"/>
        <v>0</v>
      </c>
      <c r="AP263" s="36">
        <f t="shared" si="7"/>
        <v>0</v>
      </c>
      <c r="AQ263" s="36">
        <f t="shared" si="8"/>
        <v>0</v>
      </c>
      <c r="AR263" s="36">
        <v>1.0</v>
      </c>
      <c r="AS263" s="36">
        <f t="shared" si="9"/>
        <v>0</v>
      </c>
      <c r="AT263" s="36">
        <v>2.0</v>
      </c>
      <c r="AU263" s="36">
        <f t="shared" si="10"/>
        <v>0</v>
      </c>
      <c r="AV263" s="36">
        <v>2.0</v>
      </c>
      <c r="AW263" s="37">
        <f t="shared" si="11"/>
        <v>0</v>
      </c>
      <c r="AX263" s="37">
        <f t="shared" si="12"/>
        <v>0</v>
      </c>
      <c r="AY263" s="36"/>
    </row>
    <row r="264" ht="15.75" customHeight="1">
      <c r="A264" s="38"/>
      <c r="B264" s="24"/>
      <c r="C264" s="31"/>
      <c r="D264" s="32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>
        <f t="shared" si="1"/>
        <v>0</v>
      </c>
      <c r="AK264" s="33">
        <f t="shared" si="2"/>
        <v>0</v>
      </c>
      <c r="AL264" s="33">
        <f t="shared" si="3"/>
        <v>0</v>
      </c>
      <c r="AM264" s="33">
        <f t="shared" si="4"/>
        <v>0</v>
      </c>
      <c r="AN264" s="33">
        <f t="shared" si="5"/>
        <v>0</v>
      </c>
      <c r="AO264" s="33">
        <f t="shared" si="6"/>
        <v>0</v>
      </c>
      <c r="AP264" s="33">
        <f t="shared" si="7"/>
        <v>0</v>
      </c>
      <c r="AQ264" s="33">
        <f t="shared" si="8"/>
        <v>0</v>
      </c>
      <c r="AR264" s="33">
        <v>1.0</v>
      </c>
      <c r="AS264" s="33">
        <f t="shared" si="9"/>
        <v>0</v>
      </c>
      <c r="AT264" s="33">
        <v>2.0</v>
      </c>
      <c r="AU264" s="33">
        <f t="shared" si="10"/>
        <v>0</v>
      </c>
      <c r="AV264" s="33">
        <v>2.0</v>
      </c>
      <c r="AW264" s="34">
        <f t="shared" si="11"/>
        <v>0</v>
      </c>
      <c r="AX264" s="34">
        <f t="shared" si="12"/>
        <v>0</v>
      </c>
      <c r="AY264" s="33"/>
    </row>
    <row r="265" ht="15.75" customHeight="1">
      <c r="A265" s="38"/>
      <c r="B265" s="18"/>
      <c r="C265" s="29"/>
      <c r="D265" s="3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>
        <f t="shared" si="1"/>
        <v>0</v>
      </c>
      <c r="AK265" s="36">
        <f t="shared" si="2"/>
        <v>0</v>
      </c>
      <c r="AL265" s="36">
        <f t="shared" si="3"/>
        <v>0</v>
      </c>
      <c r="AM265" s="36">
        <f t="shared" si="4"/>
        <v>0</v>
      </c>
      <c r="AN265" s="36">
        <f t="shared" si="5"/>
        <v>0</v>
      </c>
      <c r="AO265" s="36">
        <f t="shared" si="6"/>
        <v>0</v>
      </c>
      <c r="AP265" s="36">
        <f t="shared" si="7"/>
        <v>0</v>
      </c>
      <c r="AQ265" s="36">
        <f t="shared" si="8"/>
        <v>0</v>
      </c>
      <c r="AR265" s="36">
        <v>1.0</v>
      </c>
      <c r="AS265" s="36">
        <f t="shared" si="9"/>
        <v>0</v>
      </c>
      <c r="AT265" s="36">
        <v>2.0</v>
      </c>
      <c r="AU265" s="36">
        <f t="shared" si="10"/>
        <v>0</v>
      </c>
      <c r="AV265" s="36">
        <v>2.0</v>
      </c>
      <c r="AW265" s="37">
        <f t="shared" si="11"/>
        <v>0</v>
      </c>
      <c r="AX265" s="37">
        <f t="shared" si="12"/>
        <v>0</v>
      </c>
      <c r="AY265" s="36"/>
    </row>
    <row r="266" ht="15.75" customHeight="1">
      <c r="A266" s="38"/>
      <c r="B266" s="24"/>
      <c r="C266" s="31"/>
      <c r="D266" s="32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>
        <f t="shared" si="1"/>
        <v>0</v>
      </c>
      <c r="AK266" s="33">
        <f t="shared" si="2"/>
        <v>0</v>
      </c>
      <c r="AL266" s="33">
        <f t="shared" si="3"/>
        <v>0</v>
      </c>
      <c r="AM266" s="33">
        <f t="shared" si="4"/>
        <v>0</v>
      </c>
      <c r="AN266" s="33">
        <f t="shared" si="5"/>
        <v>0</v>
      </c>
      <c r="AO266" s="33">
        <f t="shared" si="6"/>
        <v>0</v>
      </c>
      <c r="AP266" s="33">
        <f t="shared" si="7"/>
        <v>0</v>
      </c>
      <c r="AQ266" s="33">
        <f t="shared" si="8"/>
        <v>0</v>
      </c>
      <c r="AR266" s="33">
        <v>1.0</v>
      </c>
      <c r="AS266" s="33">
        <f t="shared" si="9"/>
        <v>0</v>
      </c>
      <c r="AT266" s="33">
        <v>2.0</v>
      </c>
      <c r="AU266" s="33">
        <f t="shared" si="10"/>
        <v>0</v>
      </c>
      <c r="AV266" s="33">
        <v>2.0</v>
      </c>
      <c r="AW266" s="34">
        <f t="shared" si="11"/>
        <v>0</v>
      </c>
      <c r="AX266" s="34">
        <f t="shared" si="12"/>
        <v>0</v>
      </c>
      <c r="AY266" s="33"/>
    </row>
    <row r="267" ht="15.75" customHeight="1">
      <c r="A267" s="38"/>
      <c r="B267" s="18"/>
      <c r="C267" s="29"/>
      <c r="D267" s="3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>
        <f t="shared" si="1"/>
        <v>0</v>
      </c>
      <c r="AK267" s="36">
        <f t="shared" si="2"/>
        <v>0</v>
      </c>
      <c r="AL267" s="36">
        <f t="shared" si="3"/>
        <v>0</v>
      </c>
      <c r="AM267" s="36">
        <f t="shared" si="4"/>
        <v>0</v>
      </c>
      <c r="AN267" s="36">
        <f t="shared" si="5"/>
        <v>0</v>
      </c>
      <c r="AO267" s="36">
        <f t="shared" si="6"/>
        <v>0</v>
      </c>
      <c r="AP267" s="36">
        <f t="shared" si="7"/>
        <v>0</v>
      </c>
      <c r="AQ267" s="36">
        <f t="shared" si="8"/>
        <v>0</v>
      </c>
      <c r="AR267" s="36">
        <v>1.0</v>
      </c>
      <c r="AS267" s="36">
        <f t="shared" si="9"/>
        <v>0</v>
      </c>
      <c r="AT267" s="36">
        <v>2.0</v>
      </c>
      <c r="AU267" s="36">
        <f t="shared" si="10"/>
        <v>0</v>
      </c>
      <c r="AV267" s="36">
        <v>2.0</v>
      </c>
      <c r="AW267" s="37">
        <f t="shared" si="11"/>
        <v>0</v>
      </c>
      <c r="AX267" s="37">
        <f t="shared" si="12"/>
        <v>0</v>
      </c>
      <c r="AY267" s="36"/>
    </row>
    <row r="268" ht="15.75" customHeight="1">
      <c r="A268" s="38"/>
      <c r="B268" s="24"/>
      <c r="C268" s="31"/>
      <c r="D268" s="32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>
        <f t="shared" si="1"/>
        <v>0</v>
      </c>
      <c r="AK268" s="33">
        <f t="shared" si="2"/>
        <v>0</v>
      </c>
      <c r="AL268" s="33">
        <f t="shared" si="3"/>
        <v>0</v>
      </c>
      <c r="AM268" s="33">
        <f t="shared" si="4"/>
        <v>0</v>
      </c>
      <c r="AN268" s="33">
        <f t="shared" si="5"/>
        <v>0</v>
      </c>
      <c r="AO268" s="33">
        <f t="shared" si="6"/>
        <v>0</v>
      </c>
      <c r="AP268" s="33">
        <f t="shared" si="7"/>
        <v>0</v>
      </c>
      <c r="AQ268" s="33">
        <f t="shared" si="8"/>
        <v>0</v>
      </c>
      <c r="AR268" s="33">
        <v>1.0</v>
      </c>
      <c r="AS268" s="33">
        <f t="shared" si="9"/>
        <v>0</v>
      </c>
      <c r="AT268" s="33">
        <v>2.0</v>
      </c>
      <c r="AU268" s="33">
        <f t="shared" si="10"/>
        <v>0</v>
      </c>
      <c r="AV268" s="33">
        <v>2.0</v>
      </c>
      <c r="AW268" s="34">
        <f t="shared" si="11"/>
        <v>0</v>
      </c>
      <c r="AX268" s="34">
        <f t="shared" si="12"/>
        <v>0</v>
      </c>
      <c r="AY268" s="33"/>
    </row>
    <row r="269" ht="15.75" customHeight="1">
      <c r="A269" s="38"/>
      <c r="B269" s="18"/>
      <c r="C269" s="29"/>
      <c r="D269" s="3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>
        <f t="shared" si="1"/>
        <v>0</v>
      </c>
      <c r="AK269" s="36">
        <f t="shared" si="2"/>
        <v>0</v>
      </c>
      <c r="AL269" s="36">
        <f t="shared" si="3"/>
        <v>0</v>
      </c>
      <c r="AM269" s="36">
        <f t="shared" si="4"/>
        <v>0</v>
      </c>
      <c r="AN269" s="36">
        <f t="shared" si="5"/>
        <v>0</v>
      </c>
      <c r="AO269" s="36">
        <f t="shared" si="6"/>
        <v>0</v>
      </c>
      <c r="AP269" s="36">
        <f t="shared" si="7"/>
        <v>0</v>
      </c>
      <c r="AQ269" s="36">
        <f t="shared" si="8"/>
        <v>0</v>
      </c>
      <c r="AR269" s="36">
        <v>1.0</v>
      </c>
      <c r="AS269" s="36">
        <f t="shared" si="9"/>
        <v>0</v>
      </c>
      <c r="AT269" s="36">
        <v>2.0</v>
      </c>
      <c r="AU269" s="36">
        <f t="shared" si="10"/>
        <v>0</v>
      </c>
      <c r="AV269" s="36">
        <v>2.0</v>
      </c>
      <c r="AW269" s="37">
        <f t="shared" si="11"/>
        <v>0</v>
      </c>
      <c r="AX269" s="37">
        <f t="shared" si="12"/>
        <v>0</v>
      </c>
      <c r="AY269" s="36"/>
    </row>
    <row r="270" ht="15.75" customHeight="1">
      <c r="A270" s="38"/>
      <c r="B270" s="24"/>
      <c r="C270" s="31"/>
      <c r="D270" s="32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>
        <f t="shared" si="1"/>
        <v>0</v>
      </c>
      <c r="AK270" s="33">
        <f t="shared" si="2"/>
        <v>0</v>
      </c>
      <c r="AL270" s="33">
        <f t="shared" si="3"/>
        <v>0</v>
      </c>
      <c r="AM270" s="33">
        <f t="shared" si="4"/>
        <v>0</v>
      </c>
      <c r="AN270" s="33">
        <f t="shared" si="5"/>
        <v>0</v>
      </c>
      <c r="AO270" s="33">
        <f t="shared" si="6"/>
        <v>0</v>
      </c>
      <c r="AP270" s="33">
        <f t="shared" si="7"/>
        <v>0</v>
      </c>
      <c r="AQ270" s="33">
        <f t="shared" si="8"/>
        <v>0</v>
      </c>
      <c r="AR270" s="33">
        <v>1.0</v>
      </c>
      <c r="AS270" s="33">
        <f t="shared" si="9"/>
        <v>0</v>
      </c>
      <c r="AT270" s="33">
        <v>2.0</v>
      </c>
      <c r="AU270" s="33">
        <f t="shared" si="10"/>
        <v>0</v>
      </c>
      <c r="AV270" s="33">
        <v>2.0</v>
      </c>
      <c r="AW270" s="34">
        <f t="shared" si="11"/>
        <v>0</v>
      </c>
      <c r="AX270" s="34">
        <f t="shared" si="12"/>
        <v>0</v>
      </c>
      <c r="AY270" s="33"/>
    </row>
    <row r="271" ht="15.75" customHeight="1">
      <c r="A271" s="38"/>
      <c r="B271" s="18"/>
      <c r="C271" s="29"/>
      <c r="D271" s="3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>
        <f t="shared" si="1"/>
        <v>0</v>
      </c>
      <c r="AK271" s="36">
        <f t="shared" si="2"/>
        <v>0</v>
      </c>
      <c r="AL271" s="36">
        <f t="shared" si="3"/>
        <v>0</v>
      </c>
      <c r="AM271" s="36">
        <f t="shared" si="4"/>
        <v>0</v>
      </c>
      <c r="AN271" s="36">
        <f t="shared" si="5"/>
        <v>0</v>
      </c>
      <c r="AO271" s="36">
        <f t="shared" si="6"/>
        <v>0</v>
      </c>
      <c r="AP271" s="36">
        <f t="shared" si="7"/>
        <v>0</v>
      </c>
      <c r="AQ271" s="36">
        <f t="shared" si="8"/>
        <v>0</v>
      </c>
      <c r="AR271" s="36">
        <v>1.0</v>
      </c>
      <c r="AS271" s="36">
        <f t="shared" si="9"/>
        <v>0</v>
      </c>
      <c r="AT271" s="36">
        <v>2.0</v>
      </c>
      <c r="AU271" s="36">
        <f t="shared" si="10"/>
        <v>0</v>
      </c>
      <c r="AV271" s="36">
        <v>2.0</v>
      </c>
      <c r="AW271" s="37">
        <f t="shared" si="11"/>
        <v>0</v>
      </c>
      <c r="AX271" s="37">
        <f t="shared" si="12"/>
        <v>0</v>
      </c>
      <c r="AY271" s="36"/>
    </row>
    <row r="272" ht="15.75" customHeight="1">
      <c r="A272" s="38"/>
      <c r="B272" s="24"/>
      <c r="C272" s="31"/>
      <c r="D272" s="32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>
        <f t="shared" si="1"/>
        <v>0</v>
      </c>
      <c r="AK272" s="33">
        <f t="shared" si="2"/>
        <v>0</v>
      </c>
      <c r="AL272" s="33">
        <f t="shared" si="3"/>
        <v>0</v>
      </c>
      <c r="AM272" s="33">
        <f t="shared" si="4"/>
        <v>0</v>
      </c>
      <c r="AN272" s="33">
        <f t="shared" si="5"/>
        <v>0</v>
      </c>
      <c r="AO272" s="33">
        <f t="shared" si="6"/>
        <v>0</v>
      </c>
      <c r="AP272" s="33">
        <f t="shared" si="7"/>
        <v>0</v>
      </c>
      <c r="AQ272" s="33">
        <f t="shared" si="8"/>
        <v>0</v>
      </c>
      <c r="AR272" s="33">
        <v>1.0</v>
      </c>
      <c r="AS272" s="33">
        <f t="shared" si="9"/>
        <v>0</v>
      </c>
      <c r="AT272" s="33">
        <v>2.0</v>
      </c>
      <c r="AU272" s="33">
        <f t="shared" si="10"/>
        <v>0</v>
      </c>
      <c r="AV272" s="33">
        <v>2.0</v>
      </c>
      <c r="AW272" s="34">
        <f t="shared" si="11"/>
        <v>0</v>
      </c>
      <c r="AX272" s="34">
        <f t="shared" si="12"/>
        <v>0</v>
      </c>
      <c r="AY272" s="33"/>
    </row>
    <row r="273" ht="15.75" customHeight="1">
      <c r="A273" s="38"/>
      <c r="B273" s="18"/>
      <c r="C273" s="29"/>
      <c r="D273" s="3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>
        <f t="shared" si="1"/>
        <v>0</v>
      </c>
      <c r="AK273" s="36">
        <f t="shared" si="2"/>
        <v>0</v>
      </c>
      <c r="AL273" s="36">
        <f t="shared" si="3"/>
        <v>0</v>
      </c>
      <c r="AM273" s="36">
        <f t="shared" si="4"/>
        <v>0</v>
      </c>
      <c r="AN273" s="36">
        <f t="shared" si="5"/>
        <v>0</v>
      </c>
      <c r="AO273" s="36">
        <f t="shared" si="6"/>
        <v>0</v>
      </c>
      <c r="AP273" s="36">
        <f t="shared" si="7"/>
        <v>0</v>
      </c>
      <c r="AQ273" s="36">
        <f t="shared" si="8"/>
        <v>0</v>
      </c>
      <c r="AR273" s="36">
        <v>1.0</v>
      </c>
      <c r="AS273" s="36">
        <f t="shared" si="9"/>
        <v>0</v>
      </c>
      <c r="AT273" s="36">
        <v>2.0</v>
      </c>
      <c r="AU273" s="36">
        <f t="shared" si="10"/>
        <v>0</v>
      </c>
      <c r="AV273" s="36">
        <v>2.0</v>
      </c>
      <c r="AW273" s="37">
        <f t="shared" si="11"/>
        <v>0</v>
      </c>
      <c r="AX273" s="37">
        <f t="shared" si="12"/>
        <v>0</v>
      </c>
      <c r="AY273" s="36"/>
    </row>
    <row r="274" ht="15.75" customHeight="1">
      <c r="A274" s="38"/>
      <c r="B274" s="24"/>
      <c r="C274" s="31"/>
      <c r="D274" s="32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>
        <f t="shared" si="1"/>
        <v>0</v>
      </c>
      <c r="AK274" s="33">
        <f t="shared" si="2"/>
        <v>0</v>
      </c>
      <c r="AL274" s="33">
        <f t="shared" si="3"/>
        <v>0</v>
      </c>
      <c r="AM274" s="33">
        <f t="shared" si="4"/>
        <v>0</v>
      </c>
      <c r="AN274" s="33">
        <f t="shared" si="5"/>
        <v>0</v>
      </c>
      <c r="AO274" s="33">
        <f t="shared" si="6"/>
        <v>0</v>
      </c>
      <c r="AP274" s="33">
        <f t="shared" si="7"/>
        <v>0</v>
      </c>
      <c r="AQ274" s="33">
        <f t="shared" si="8"/>
        <v>0</v>
      </c>
      <c r="AR274" s="33">
        <v>1.0</v>
      </c>
      <c r="AS274" s="33">
        <f t="shared" si="9"/>
        <v>0</v>
      </c>
      <c r="AT274" s="33">
        <v>2.0</v>
      </c>
      <c r="AU274" s="33">
        <f t="shared" si="10"/>
        <v>0</v>
      </c>
      <c r="AV274" s="33">
        <v>2.0</v>
      </c>
      <c r="AW274" s="34">
        <f t="shared" si="11"/>
        <v>0</v>
      </c>
      <c r="AX274" s="34">
        <f t="shared" si="12"/>
        <v>0</v>
      </c>
      <c r="AY274" s="33"/>
    </row>
    <row r="275" ht="15.75" customHeight="1">
      <c r="A275" s="38"/>
      <c r="B275" s="18"/>
      <c r="C275" s="29"/>
      <c r="D275" s="3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>
        <f t="shared" si="1"/>
        <v>0</v>
      </c>
      <c r="AK275" s="36">
        <f t="shared" si="2"/>
        <v>0</v>
      </c>
      <c r="AL275" s="36">
        <f t="shared" si="3"/>
        <v>0</v>
      </c>
      <c r="AM275" s="36">
        <f t="shared" si="4"/>
        <v>0</v>
      </c>
      <c r="AN275" s="36">
        <f t="shared" si="5"/>
        <v>0</v>
      </c>
      <c r="AO275" s="36">
        <f t="shared" si="6"/>
        <v>0</v>
      </c>
      <c r="AP275" s="36">
        <f t="shared" si="7"/>
        <v>0</v>
      </c>
      <c r="AQ275" s="36">
        <f t="shared" si="8"/>
        <v>0</v>
      </c>
      <c r="AR275" s="36">
        <v>1.0</v>
      </c>
      <c r="AS275" s="36">
        <f t="shared" si="9"/>
        <v>0</v>
      </c>
      <c r="AT275" s="36">
        <v>2.0</v>
      </c>
      <c r="AU275" s="36">
        <f t="shared" si="10"/>
        <v>0</v>
      </c>
      <c r="AV275" s="36">
        <v>2.0</v>
      </c>
      <c r="AW275" s="37">
        <f t="shared" si="11"/>
        <v>0</v>
      </c>
      <c r="AX275" s="37">
        <f t="shared" si="12"/>
        <v>0</v>
      </c>
      <c r="AY275" s="36"/>
    </row>
    <row r="276" ht="15.75" customHeight="1">
      <c r="A276" s="38"/>
      <c r="B276" s="24"/>
      <c r="C276" s="31"/>
      <c r="D276" s="32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>
        <f t="shared" si="1"/>
        <v>0</v>
      </c>
      <c r="AK276" s="33">
        <f t="shared" si="2"/>
        <v>0</v>
      </c>
      <c r="AL276" s="33">
        <f t="shared" si="3"/>
        <v>0</v>
      </c>
      <c r="AM276" s="33">
        <f t="shared" si="4"/>
        <v>0</v>
      </c>
      <c r="AN276" s="33">
        <f t="shared" si="5"/>
        <v>0</v>
      </c>
      <c r="AO276" s="33">
        <f t="shared" si="6"/>
        <v>0</v>
      </c>
      <c r="AP276" s="33">
        <f t="shared" si="7"/>
        <v>0</v>
      </c>
      <c r="AQ276" s="33">
        <f t="shared" si="8"/>
        <v>0</v>
      </c>
      <c r="AR276" s="33">
        <v>1.0</v>
      </c>
      <c r="AS276" s="33">
        <f t="shared" si="9"/>
        <v>0</v>
      </c>
      <c r="AT276" s="33">
        <v>2.0</v>
      </c>
      <c r="AU276" s="33">
        <f t="shared" si="10"/>
        <v>0</v>
      </c>
      <c r="AV276" s="33">
        <v>2.0</v>
      </c>
      <c r="AW276" s="34">
        <f t="shared" si="11"/>
        <v>0</v>
      </c>
      <c r="AX276" s="34">
        <f t="shared" si="12"/>
        <v>0</v>
      </c>
      <c r="AY276" s="33"/>
    </row>
    <row r="277" ht="15.75" customHeight="1">
      <c r="A277" s="38"/>
      <c r="B277" s="18"/>
      <c r="C277" s="29"/>
      <c r="D277" s="3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>
        <f t="shared" si="1"/>
        <v>0</v>
      </c>
      <c r="AK277" s="36">
        <f t="shared" si="2"/>
        <v>0</v>
      </c>
      <c r="AL277" s="36">
        <f t="shared" si="3"/>
        <v>0</v>
      </c>
      <c r="AM277" s="36">
        <f t="shared" si="4"/>
        <v>0</v>
      </c>
      <c r="AN277" s="36">
        <f t="shared" si="5"/>
        <v>0</v>
      </c>
      <c r="AO277" s="36">
        <f t="shared" si="6"/>
        <v>0</v>
      </c>
      <c r="AP277" s="36">
        <f t="shared" si="7"/>
        <v>0</v>
      </c>
      <c r="AQ277" s="36">
        <f t="shared" si="8"/>
        <v>0</v>
      </c>
      <c r="AR277" s="36">
        <v>1.0</v>
      </c>
      <c r="AS277" s="36">
        <f t="shared" si="9"/>
        <v>0</v>
      </c>
      <c r="AT277" s="36">
        <v>2.0</v>
      </c>
      <c r="AU277" s="36">
        <f t="shared" si="10"/>
        <v>0</v>
      </c>
      <c r="AV277" s="36">
        <v>2.0</v>
      </c>
      <c r="AW277" s="37">
        <f t="shared" si="11"/>
        <v>0</v>
      </c>
      <c r="AX277" s="37">
        <f t="shared" si="12"/>
        <v>0</v>
      </c>
      <c r="AY277" s="36"/>
    </row>
    <row r="278" ht="15.75" customHeight="1">
      <c r="A278" s="38"/>
      <c r="B278" s="24"/>
      <c r="C278" s="31"/>
      <c r="D278" s="32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>
        <f t="shared" si="1"/>
        <v>0</v>
      </c>
      <c r="AK278" s="33">
        <f t="shared" si="2"/>
        <v>0</v>
      </c>
      <c r="AL278" s="33">
        <f t="shared" si="3"/>
        <v>0</v>
      </c>
      <c r="AM278" s="33">
        <f t="shared" si="4"/>
        <v>0</v>
      </c>
      <c r="AN278" s="33">
        <f t="shared" si="5"/>
        <v>0</v>
      </c>
      <c r="AO278" s="33">
        <f t="shared" si="6"/>
        <v>0</v>
      </c>
      <c r="AP278" s="33">
        <f t="shared" si="7"/>
        <v>0</v>
      </c>
      <c r="AQ278" s="33">
        <f t="shared" si="8"/>
        <v>0</v>
      </c>
      <c r="AR278" s="33">
        <v>1.0</v>
      </c>
      <c r="AS278" s="33">
        <f t="shared" si="9"/>
        <v>0</v>
      </c>
      <c r="AT278" s="33">
        <v>2.0</v>
      </c>
      <c r="AU278" s="33">
        <f t="shared" si="10"/>
        <v>0</v>
      </c>
      <c r="AV278" s="33">
        <v>2.0</v>
      </c>
      <c r="AW278" s="34">
        <f t="shared" si="11"/>
        <v>0</v>
      </c>
      <c r="AX278" s="34">
        <f t="shared" si="12"/>
        <v>0</v>
      </c>
      <c r="AY278" s="33"/>
    </row>
    <row r="279" ht="15.75" customHeight="1">
      <c r="A279" s="38"/>
      <c r="B279" s="18"/>
      <c r="C279" s="29"/>
      <c r="D279" s="3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>
        <f t="shared" si="1"/>
        <v>0</v>
      </c>
      <c r="AK279" s="36">
        <f t="shared" si="2"/>
        <v>0</v>
      </c>
      <c r="AL279" s="36">
        <f t="shared" si="3"/>
        <v>0</v>
      </c>
      <c r="AM279" s="36">
        <f t="shared" si="4"/>
        <v>0</v>
      </c>
      <c r="AN279" s="36">
        <f t="shared" si="5"/>
        <v>0</v>
      </c>
      <c r="AO279" s="36">
        <f t="shared" si="6"/>
        <v>0</v>
      </c>
      <c r="AP279" s="36">
        <f t="shared" si="7"/>
        <v>0</v>
      </c>
      <c r="AQ279" s="36">
        <f t="shared" si="8"/>
        <v>0</v>
      </c>
      <c r="AR279" s="36">
        <v>1.0</v>
      </c>
      <c r="AS279" s="36">
        <f t="shared" si="9"/>
        <v>0</v>
      </c>
      <c r="AT279" s="36">
        <v>2.0</v>
      </c>
      <c r="AU279" s="36">
        <f t="shared" si="10"/>
        <v>0</v>
      </c>
      <c r="AV279" s="36">
        <v>2.0</v>
      </c>
      <c r="AW279" s="37">
        <f t="shared" si="11"/>
        <v>0</v>
      </c>
      <c r="AX279" s="37">
        <f t="shared" si="12"/>
        <v>0</v>
      </c>
      <c r="AY279" s="36"/>
    </row>
    <row r="280" ht="15.75" customHeight="1">
      <c r="A280" s="38"/>
      <c r="B280" s="24"/>
      <c r="C280" s="31"/>
      <c r="D280" s="32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>
        <f t="shared" si="1"/>
        <v>0</v>
      </c>
      <c r="AK280" s="33">
        <f t="shared" si="2"/>
        <v>0</v>
      </c>
      <c r="AL280" s="33">
        <f t="shared" si="3"/>
        <v>0</v>
      </c>
      <c r="AM280" s="33">
        <f t="shared" si="4"/>
        <v>0</v>
      </c>
      <c r="AN280" s="33">
        <f t="shared" si="5"/>
        <v>0</v>
      </c>
      <c r="AO280" s="33">
        <f t="shared" si="6"/>
        <v>0</v>
      </c>
      <c r="AP280" s="33">
        <f t="shared" si="7"/>
        <v>0</v>
      </c>
      <c r="AQ280" s="33">
        <f t="shared" si="8"/>
        <v>0</v>
      </c>
      <c r="AR280" s="33">
        <v>1.0</v>
      </c>
      <c r="AS280" s="33">
        <f t="shared" si="9"/>
        <v>0</v>
      </c>
      <c r="AT280" s="33">
        <v>2.0</v>
      </c>
      <c r="AU280" s="33">
        <f t="shared" si="10"/>
        <v>0</v>
      </c>
      <c r="AV280" s="33">
        <v>2.0</v>
      </c>
      <c r="AW280" s="34">
        <f t="shared" si="11"/>
        <v>0</v>
      </c>
      <c r="AX280" s="34">
        <f t="shared" si="12"/>
        <v>0</v>
      </c>
      <c r="AY280" s="33"/>
    </row>
    <row r="281" ht="15.75" customHeight="1">
      <c r="A281" s="38"/>
      <c r="B281" s="18"/>
      <c r="C281" s="29"/>
      <c r="D281" s="3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>
        <f t="shared" si="1"/>
        <v>0</v>
      </c>
      <c r="AK281" s="36">
        <f t="shared" si="2"/>
        <v>0</v>
      </c>
      <c r="AL281" s="36">
        <f t="shared" si="3"/>
        <v>0</v>
      </c>
      <c r="AM281" s="36">
        <f t="shared" si="4"/>
        <v>0</v>
      </c>
      <c r="AN281" s="36">
        <f t="shared" si="5"/>
        <v>0</v>
      </c>
      <c r="AO281" s="36">
        <f t="shared" si="6"/>
        <v>0</v>
      </c>
      <c r="AP281" s="36">
        <f t="shared" si="7"/>
        <v>0</v>
      </c>
      <c r="AQ281" s="36">
        <f t="shared" si="8"/>
        <v>0</v>
      </c>
      <c r="AR281" s="36">
        <v>1.0</v>
      </c>
      <c r="AS281" s="36">
        <f t="shared" si="9"/>
        <v>0</v>
      </c>
      <c r="AT281" s="36">
        <v>2.0</v>
      </c>
      <c r="AU281" s="36">
        <f t="shared" si="10"/>
        <v>0</v>
      </c>
      <c r="AV281" s="36">
        <v>2.0</v>
      </c>
      <c r="AW281" s="37">
        <f t="shared" si="11"/>
        <v>0</v>
      </c>
      <c r="AX281" s="37">
        <f t="shared" si="12"/>
        <v>0</v>
      </c>
      <c r="AY281" s="36"/>
    </row>
    <row r="282" ht="15.75" customHeight="1">
      <c r="A282" s="38"/>
      <c r="B282" s="24"/>
      <c r="C282" s="31"/>
      <c r="D282" s="32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>
        <f t="shared" si="1"/>
        <v>0</v>
      </c>
      <c r="AK282" s="33">
        <f t="shared" si="2"/>
        <v>0</v>
      </c>
      <c r="AL282" s="33">
        <f t="shared" si="3"/>
        <v>0</v>
      </c>
      <c r="AM282" s="33">
        <f t="shared" si="4"/>
        <v>0</v>
      </c>
      <c r="AN282" s="33">
        <f t="shared" si="5"/>
        <v>0</v>
      </c>
      <c r="AO282" s="33">
        <f t="shared" si="6"/>
        <v>0</v>
      </c>
      <c r="AP282" s="33">
        <f t="shared" si="7"/>
        <v>0</v>
      </c>
      <c r="AQ282" s="33">
        <f t="shared" si="8"/>
        <v>0</v>
      </c>
      <c r="AR282" s="33">
        <v>1.0</v>
      </c>
      <c r="AS282" s="33">
        <f t="shared" si="9"/>
        <v>0</v>
      </c>
      <c r="AT282" s="33">
        <v>2.0</v>
      </c>
      <c r="AU282" s="33">
        <f t="shared" si="10"/>
        <v>0</v>
      </c>
      <c r="AV282" s="33">
        <v>2.0</v>
      </c>
      <c r="AW282" s="34">
        <f t="shared" si="11"/>
        <v>0</v>
      </c>
      <c r="AX282" s="34">
        <f t="shared" si="12"/>
        <v>0</v>
      </c>
      <c r="AY282" s="33"/>
    </row>
    <row r="283" ht="15.75" customHeight="1">
      <c r="A283" s="38"/>
      <c r="B283" s="18"/>
      <c r="C283" s="29"/>
      <c r="D283" s="3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>
        <f t="shared" si="1"/>
        <v>0</v>
      </c>
      <c r="AK283" s="36">
        <f t="shared" si="2"/>
        <v>0</v>
      </c>
      <c r="AL283" s="36">
        <f t="shared" si="3"/>
        <v>0</v>
      </c>
      <c r="AM283" s="36">
        <f t="shared" si="4"/>
        <v>0</v>
      </c>
      <c r="AN283" s="36">
        <f t="shared" si="5"/>
        <v>0</v>
      </c>
      <c r="AO283" s="36">
        <f t="shared" si="6"/>
        <v>0</v>
      </c>
      <c r="AP283" s="36">
        <f t="shared" si="7"/>
        <v>0</v>
      </c>
      <c r="AQ283" s="36">
        <f t="shared" si="8"/>
        <v>0</v>
      </c>
      <c r="AR283" s="36">
        <v>1.0</v>
      </c>
      <c r="AS283" s="36">
        <f t="shared" si="9"/>
        <v>0</v>
      </c>
      <c r="AT283" s="36">
        <v>2.0</v>
      </c>
      <c r="AU283" s="36">
        <f t="shared" si="10"/>
        <v>0</v>
      </c>
      <c r="AV283" s="36">
        <v>2.0</v>
      </c>
      <c r="AW283" s="37">
        <f t="shared" si="11"/>
        <v>0</v>
      </c>
      <c r="AX283" s="37">
        <f t="shared" si="12"/>
        <v>0</v>
      </c>
      <c r="AY283" s="36"/>
    </row>
    <row r="284" ht="15.75" customHeight="1">
      <c r="A284" s="38"/>
      <c r="B284" s="24"/>
      <c r="C284" s="31"/>
      <c r="D284" s="32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>
        <f t="shared" si="1"/>
        <v>0</v>
      </c>
      <c r="AK284" s="33">
        <f t="shared" si="2"/>
        <v>0</v>
      </c>
      <c r="AL284" s="33">
        <f t="shared" si="3"/>
        <v>0</v>
      </c>
      <c r="AM284" s="33">
        <f t="shared" si="4"/>
        <v>0</v>
      </c>
      <c r="AN284" s="33">
        <f t="shared" si="5"/>
        <v>0</v>
      </c>
      <c r="AO284" s="33">
        <f t="shared" si="6"/>
        <v>0</v>
      </c>
      <c r="AP284" s="33">
        <f t="shared" si="7"/>
        <v>0</v>
      </c>
      <c r="AQ284" s="33">
        <f t="shared" si="8"/>
        <v>0</v>
      </c>
      <c r="AR284" s="33">
        <v>1.0</v>
      </c>
      <c r="AS284" s="33">
        <f t="shared" si="9"/>
        <v>0</v>
      </c>
      <c r="AT284" s="33">
        <v>2.0</v>
      </c>
      <c r="AU284" s="33">
        <f t="shared" si="10"/>
        <v>0</v>
      </c>
      <c r="AV284" s="33">
        <v>2.0</v>
      </c>
      <c r="AW284" s="34">
        <f t="shared" si="11"/>
        <v>0</v>
      </c>
      <c r="AX284" s="34">
        <f t="shared" si="12"/>
        <v>0</v>
      </c>
      <c r="AY284" s="33"/>
    </row>
    <row r="285" ht="15.75" customHeight="1">
      <c r="A285" s="38"/>
      <c r="B285" s="18"/>
      <c r="C285" s="29"/>
      <c r="D285" s="3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>
        <f t="shared" si="1"/>
        <v>0</v>
      </c>
      <c r="AK285" s="36">
        <f t="shared" si="2"/>
        <v>0</v>
      </c>
      <c r="AL285" s="36">
        <f t="shared" si="3"/>
        <v>0</v>
      </c>
      <c r="AM285" s="36">
        <f t="shared" si="4"/>
        <v>0</v>
      </c>
      <c r="AN285" s="36">
        <f t="shared" si="5"/>
        <v>0</v>
      </c>
      <c r="AO285" s="36">
        <f t="shared" si="6"/>
        <v>0</v>
      </c>
      <c r="AP285" s="36">
        <f t="shared" si="7"/>
        <v>0</v>
      </c>
      <c r="AQ285" s="36">
        <f t="shared" si="8"/>
        <v>0</v>
      </c>
      <c r="AR285" s="36">
        <v>1.0</v>
      </c>
      <c r="AS285" s="36">
        <f t="shared" si="9"/>
        <v>0</v>
      </c>
      <c r="AT285" s="36">
        <v>2.0</v>
      </c>
      <c r="AU285" s="36">
        <f t="shared" si="10"/>
        <v>0</v>
      </c>
      <c r="AV285" s="36">
        <v>2.0</v>
      </c>
      <c r="AW285" s="37">
        <f t="shared" si="11"/>
        <v>0</v>
      </c>
      <c r="AX285" s="37">
        <f t="shared" si="12"/>
        <v>0</v>
      </c>
      <c r="AY285" s="36"/>
    </row>
    <row r="286" ht="15.75" customHeight="1">
      <c r="A286" s="38"/>
      <c r="B286" s="24"/>
      <c r="C286" s="31"/>
      <c r="D286" s="32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>
        <f t="shared" si="1"/>
        <v>0</v>
      </c>
      <c r="AK286" s="33">
        <f t="shared" si="2"/>
        <v>0</v>
      </c>
      <c r="AL286" s="33">
        <f t="shared" si="3"/>
        <v>0</v>
      </c>
      <c r="AM286" s="33">
        <f t="shared" si="4"/>
        <v>0</v>
      </c>
      <c r="AN286" s="33">
        <f t="shared" si="5"/>
        <v>0</v>
      </c>
      <c r="AO286" s="33">
        <f t="shared" si="6"/>
        <v>0</v>
      </c>
      <c r="AP286" s="33">
        <f t="shared" si="7"/>
        <v>0</v>
      </c>
      <c r="AQ286" s="33">
        <f t="shared" si="8"/>
        <v>0</v>
      </c>
      <c r="AR286" s="33">
        <v>1.0</v>
      </c>
      <c r="AS286" s="33">
        <f t="shared" si="9"/>
        <v>0</v>
      </c>
      <c r="AT286" s="33">
        <v>2.0</v>
      </c>
      <c r="AU286" s="33">
        <f t="shared" si="10"/>
        <v>0</v>
      </c>
      <c r="AV286" s="33">
        <v>2.0</v>
      </c>
      <c r="AW286" s="34">
        <f t="shared" si="11"/>
        <v>0</v>
      </c>
      <c r="AX286" s="34">
        <f t="shared" si="12"/>
        <v>0</v>
      </c>
      <c r="AY286" s="33"/>
    </row>
    <row r="287" ht="15.75" customHeight="1">
      <c r="A287" s="38"/>
      <c r="B287" s="18"/>
      <c r="C287" s="29"/>
      <c r="D287" s="3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>
        <f t="shared" si="1"/>
        <v>0</v>
      </c>
      <c r="AK287" s="36">
        <f t="shared" si="2"/>
        <v>0</v>
      </c>
      <c r="AL287" s="36">
        <f t="shared" si="3"/>
        <v>0</v>
      </c>
      <c r="AM287" s="36">
        <f t="shared" si="4"/>
        <v>0</v>
      </c>
      <c r="AN287" s="36">
        <f t="shared" si="5"/>
        <v>0</v>
      </c>
      <c r="AO287" s="36">
        <f t="shared" si="6"/>
        <v>0</v>
      </c>
      <c r="AP287" s="36">
        <f t="shared" si="7"/>
        <v>0</v>
      </c>
      <c r="AQ287" s="36">
        <f t="shared" si="8"/>
        <v>0</v>
      </c>
      <c r="AR287" s="36">
        <v>1.0</v>
      </c>
      <c r="AS287" s="36">
        <f t="shared" si="9"/>
        <v>0</v>
      </c>
      <c r="AT287" s="36">
        <v>2.0</v>
      </c>
      <c r="AU287" s="36">
        <f t="shared" si="10"/>
        <v>0</v>
      </c>
      <c r="AV287" s="36">
        <v>2.0</v>
      </c>
      <c r="AW287" s="37">
        <f t="shared" si="11"/>
        <v>0</v>
      </c>
      <c r="AX287" s="37">
        <f t="shared" si="12"/>
        <v>0</v>
      </c>
      <c r="AY287" s="36"/>
    </row>
    <row r="288" ht="15.75" customHeight="1">
      <c r="A288" s="38"/>
      <c r="B288" s="24"/>
      <c r="C288" s="31"/>
      <c r="D288" s="32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>
        <f t="shared" si="1"/>
        <v>0</v>
      </c>
      <c r="AK288" s="33">
        <f t="shared" si="2"/>
        <v>0</v>
      </c>
      <c r="AL288" s="33">
        <f t="shared" si="3"/>
        <v>0</v>
      </c>
      <c r="AM288" s="33">
        <f t="shared" si="4"/>
        <v>0</v>
      </c>
      <c r="AN288" s="33">
        <f t="shared" si="5"/>
        <v>0</v>
      </c>
      <c r="AO288" s="33">
        <f t="shared" si="6"/>
        <v>0</v>
      </c>
      <c r="AP288" s="33">
        <f t="shared" si="7"/>
        <v>0</v>
      </c>
      <c r="AQ288" s="33">
        <f t="shared" si="8"/>
        <v>0</v>
      </c>
      <c r="AR288" s="33">
        <v>1.0</v>
      </c>
      <c r="AS288" s="33">
        <f t="shared" si="9"/>
        <v>0</v>
      </c>
      <c r="AT288" s="33">
        <v>2.0</v>
      </c>
      <c r="AU288" s="33">
        <f t="shared" si="10"/>
        <v>0</v>
      </c>
      <c r="AV288" s="33">
        <v>2.0</v>
      </c>
      <c r="AW288" s="34">
        <f t="shared" si="11"/>
        <v>0</v>
      </c>
      <c r="AX288" s="34">
        <f t="shared" si="12"/>
        <v>0</v>
      </c>
      <c r="AY288" s="33"/>
    </row>
    <row r="289" ht="15.75" customHeight="1">
      <c r="A289" s="38"/>
      <c r="B289" s="18"/>
      <c r="C289" s="29"/>
      <c r="D289" s="3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>
        <f t="shared" si="1"/>
        <v>0</v>
      </c>
      <c r="AK289" s="36">
        <f t="shared" si="2"/>
        <v>0</v>
      </c>
      <c r="AL289" s="36">
        <f t="shared" si="3"/>
        <v>0</v>
      </c>
      <c r="AM289" s="36">
        <f t="shared" si="4"/>
        <v>0</v>
      </c>
      <c r="AN289" s="36">
        <f t="shared" si="5"/>
        <v>0</v>
      </c>
      <c r="AO289" s="36">
        <f t="shared" si="6"/>
        <v>0</v>
      </c>
      <c r="AP289" s="36">
        <f t="shared" si="7"/>
        <v>0</v>
      </c>
      <c r="AQ289" s="36">
        <f t="shared" si="8"/>
        <v>0</v>
      </c>
      <c r="AR289" s="36">
        <v>1.0</v>
      </c>
      <c r="AS289" s="36">
        <f t="shared" si="9"/>
        <v>0</v>
      </c>
      <c r="AT289" s="36">
        <v>2.0</v>
      </c>
      <c r="AU289" s="36">
        <f t="shared" si="10"/>
        <v>0</v>
      </c>
      <c r="AV289" s="36">
        <v>2.0</v>
      </c>
      <c r="AW289" s="37">
        <f t="shared" si="11"/>
        <v>0</v>
      </c>
      <c r="AX289" s="37">
        <f t="shared" si="12"/>
        <v>0</v>
      </c>
      <c r="AY289" s="36"/>
    </row>
    <row r="290" ht="15.75" customHeight="1">
      <c r="A290" s="38"/>
      <c r="B290" s="24"/>
      <c r="C290" s="31"/>
      <c r="D290" s="32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>
        <f t="shared" si="1"/>
        <v>0</v>
      </c>
      <c r="AK290" s="33">
        <f t="shared" si="2"/>
        <v>0</v>
      </c>
      <c r="AL290" s="33">
        <f t="shared" si="3"/>
        <v>0</v>
      </c>
      <c r="AM290" s="33">
        <f t="shared" si="4"/>
        <v>0</v>
      </c>
      <c r="AN290" s="33">
        <f t="shared" si="5"/>
        <v>0</v>
      </c>
      <c r="AO290" s="33">
        <f t="shared" si="6"/>
        <v>0</v>
      </c>
      <c r="AP290" s="33">
        <f t="shared" si="7"/>
        <v>0</v>
      </c>
      <c r="AQ290" s="33">
        <f t="shared" si="8"/>
        <v>0</v>
      </c>
      <c r="AR290" s="33">
        <v>1.0</v>
      </c>
      <c r="AS290" s="33">
        <f t="shared" si="9"/>
        <v>0</v>
      </c>
      <c r="AT290" s="33">
        <v>2.0</v>
      </c>
      <c r="AU290" s="33">
        <f t="shared" si="10"/>
        <v>0</v>
      </c>
      <c r="AV290" s="33">
        <v>2.0</v>
      </c>
      <c r="AW290" s="34">
        <f t="shared" si="11"/>
        <v>0</v>
      </c>
      <c r="AX290" s="34">
        <f t="shared" si="12"/>
        <v>0</v>
      </c>
      <c r="AY290" s="33"/>
    </row>
    <row r="291" ht="15.75" customHeight="1">
      <c r="A291" s="38"/>
      <c r="B291" s="18"/>
      <c r="C291" s="29"/>
      <c r="D291" s="3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>
        <f t="shared" si="1"/>
        <v>0</v>
      </c>
      <c r="AK291" s="36">
        <f t="shared" si="2"/>
        <v>0</v>
      </c>
      <c r="AL291" s="36">
        <f t="shared" si="3"/>
        <v>0</v>
      </c>
      <c r="AM291" s="36">
        <f t="shared" si="4"/>
        <v>0</v>
      </c>
      <c r="AN291" s="36">
        <f t="shared" si="5"/>
        <v>0</v>
      </c>
      <c r="AO291" s="36">
        <f t="shared" si="6"/>
        <v>0</v>
      </c>
      <c r="AP291" s="36">
        <f t="shared" si="7"/>
        <v>0</v>
      </c>
      <c r="AQ291" s="36">
        <f t="shared" si="8"/>
        <v>0</v>
      </c>
      <c r="AR291" s="36">
        <v>1.0</v>
      </c>
      <c r="AS291" s="36">
        <f t="shared" si="9"/>
        <v>0</v>
      </c>
      <c r="AT291" s="36">
        <v>2.0</v>
      </c>
      <c r="AU291" s="36">
        <f t="shared" si="10"/>
        <v>0</v>
      </c>
      <c r="AV291" s="36">
        <v>2.0</v>
      </c>
      <c r="AW291" s="37">
        <f t="shared" si="11"/>
        <v>0</v>
      </c>
      <c r="AX291" s="37">
        <f t="shared" si="12"/>
        <v>0</v>
      </c>
      <c r="AY291" s="36"/>
    </row>
    <row r="292" ht="15.75" customHeight="1">
      <c r="A292" s="38"/>
      <c r="B292" s="24"/>
      <c r="C292" s="31"/>
      <c r="D292" s="32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>
        <f t="shared" si="1"/>
        <v>0</v>
      </c>
      <c r="AK292" s="33">
        <f t="shared" si="2"/>
        <v>0</v>
      </c>
      <c r="AL292" s="33">
        <f t="shared" si="3"/>
        <v>0</v>
      </c>
      <c r="AM292" s="33">
        <f t="shared" si="4"/>
        <v>0</v>
      </c>
      <c r="AN292" s="33">
        <f t="shared" si="5"/>
        <v>0</v>
      </c>
      <c r="AO292" s="33">
        <f t="shared" si="6"/>
        <v>0</v>
      </c>
      <c r="AP292" s="33">
        <f t="shared" si="7"/>
        <v>0</v>
      </c>
      <c r="AQ292" s="33">
        <f t="shared" si="8"/>
        <v>0</v>
      </c>
      <c r="AR292" s="33">
        <v>1.0</v>
      </c>
      <c r="AS292" s="33">
        <f t="shared" si="9"/>
        <v>0</v>
      </c>
      <c r="AT292" s="33">
        <v>2.0</v>
      </c>
      <c r="AU292" s="33">
        <f t="shared" si="10"/>
        <v>0</v>
      </c>
      <c r="AV292" s="33">
        <v>2.0</v>
      </c>
      <c r="AW292" s="34">
        <f t="shared" si="11"/>
        <v>0</v>
      </c>
      <c r="AX292" s="34">
        <f t="shared" si="12"/>
        <v>0</v>
      </c>
      <c r="AY292" s="33"/>
    </row>
    <row r="293" ht="15.75" customHeight="1">
      <c r="A293" s="38"/>
      <c r="B293" s="18"/>
      <c r="C293" s="29"/>
      <c r="D293" s="3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>
        <f t="shared" si="1"/>
        <v>0</v>
      </c>
      <c r="AK293" s="36">
        <f t="shared" si="2"/>
        <v>0</v>
      </c>
      <c r="AL293" s="36">
        <f t="shared" si="3"/>
        <v>0</v>
      </c>
      <c r="AM293" s="36">
        <f t="shared" si="4"/>
        <v>0</v>
      </c>
      <c r="AN293" s="36">
        <f t="shared" si="5"/>
        <v>0</v>
      </c>
      <c r="AO293" s="36">
        <f t="shared" si="6"/>
        <v>0</v>
      </c>
      <c r="AP293" s="36">
        <f t="shared" si="7"/>
        <v>0</v>
      </c>
      <c r="AQ293" s="36">
        <f t="shared" si="8"/>
        <v>0</v>
      </c>
      <c r="AR293" s="36">
        <v>1.0</v>
      </c>
      <c r="AS293" s="36">
        <f t="shared" si="9"/>
        <v>0</v>
      </c>
      <c r="AT293" s="36">
        <v>2.0</v>
      </c>
      <c r="AU293" s="36">
        <f t="shared" si="10"/>
        <v>0</v>
      </c>
      <c r="AV293" s="36">
        <v>2.0</v>
      </c>
      <c r="AW293" s="37">
        <f t="shared" si="11"/>
        <v>0</v>
      </c>
      <c r="AX293" s="37">
        <f t="shared" si="12"/>
        <v>0</v>
      </c>
      <c r="AY293" s="36"/>
    </row>
    <row r="294" ht="15.75" customHeight="1">
      <c r="A294" s="38"/>
      <c r="B294" s="24"/>
      <c r="C294" s="31"/>
      <c r="D294" s="32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>
        <f t="shared" si="1"/>
        <v>0</v>
      </c>
      <c r="AK294" s="33">
        <f t="shared" si="2"/>
        <v>0</v>
      </c>
      <c r="AL294" s="33">
        <f t="shared" si="3"/>
        <v>0</v>
      </c>
      <c r="AM294" s="33">
        <f t="shared" si="4"/>
        <v>0</v>
      </c>
      <c r="AN294" s="33">
        <f t="shared" si="5"/>
        <v>0</v>
      </c>
      <c r="AO294" s="33">
        <f t="shared" si="6"/>
        <v>0</v>
      </c>
      <c r="AP294" s="33">
        <f t="shared" si="7"/>
        <v>0</v>
      </c>
      <c r="AQ294" s="33">
        <f t="shared" si="8"/>
        <v>0</v>
      </c>
      <c r="AR294" s="33">
        <v>1.0</v>
      </c>
      <c r="AS294" s="33">
        <f t="shared" si="9"/>
        <v>0</v>
      </c>
      <c r="AT294" s="33">
        <v>2.0</v>
      </c>
      <c r="AU294" s="33">
        <f t="shared" si="10"/>
        <v>0</v>
      </c>
      <c r="AV294" s="33">
        <v>2.0</v>
      </c>
      <c r="AW294" s="34">
        <f t="shared" si="11"/>
        <v>0</v>
      </c>
      <c r="AX294" s="34">
        <f t="shared" si="12"/>
        <v>0</v>
      </c>
      <c r="AY294" s="33"/>
    </row>
    <row r="295" ht="15.75" customHeight="1">
      <c r="A295" s="38"/>
      <c r="B295" s="18"/>
      <c r="C295" s="29"/>
      <c r="D295" s="3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>
        <f t="shared" si="1"/>
        <v>0</v>
      </c>
      <c r="AK295" s="36">
        <f t="shared" si="2"/>
        <v>0</v>
      </c>
      <c r="AL295" s="36">
        <f t="shared" si="3"/>
        <v>0</v>
      </c>
      <c r="AM295" s="36">
        <f t="shared" si="4"/>
        <v>0</v>
      </c>
      <c r="AN295" s="36">
        <f t="shared" si="5"/>
        <v>0</v>
      </c>
      <c r="AO295" s="36">
        <f t="shared" si="6"/>
        <v>0</v>
      </c>
      <c r="AP295" s="36">
        <f t="shared" si="7"/>
        <v>0</v>
      </c>
      <c r="AQ295" s="36">
        <f t="shared" si="8"/>
        <v>0</v>
      </c>
      <c r="AR295" s="36">
        <v>1.0</v>
      </c>
      <c r="AS295" s="36">
        <f t="shared" si="9"/>
        <v>0</v>
      </c>
      <c r="AT295" s="36">
        <v>2.0</v>
      </c>
      <c r="AU295" s="36">
        <f t="shared" si="10"/>
        <v>0</v>
      </c>
      <c r="AV295" s="36">
        <v>2.0</v>
      </c>
      <c r="AW295" s="37">
        <f t="shared" si="11"/>
        <v>0</v>
      </c>
      <c r="AX295" s="37">
        <f t="shared" si="12"/>
        <v>0</v>
      </c>
      <c r="AY295" s="36"/>
    </row>
    <row r="296" ht="15.75" customHeight="1">
      <c r="A296" s="38"/>
      <c r="B296" s="24"/>
      <c r="C296" s="31"/>
      <c r="D296" s="32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>
        <f t="shared" si="1"/>
        <v>0</v>
      </c>
      <c r="AK296" s="33">
        <f t="shared" si="2"/>
        <v>0</v>
      </c>
      <c r="AL296" s="33">
        <f t="shared" si="3"/>
        <v>0</v>
      </c>
      <c r="AM296" s="33">
        <f t="shared" si="4"/>
        <v>0</v>
      </c>
      <c r="AN296" s="33">
        <f t="shared" si="5"/>
        <v>0</v>
      </c>
      <c r="AO296" s="33">
        <f t="shared" si="6"/>
        <v>0</v>
      </c>
      <c r="AP296" s="33">
        <f t="shared" si="7"/>
        <v>0</v>
      </c>
      <c r="AQ296" s="33">
        <f t="shared" si="8"/>
        <v>0</v>
      </c>
      <c r="AR296" s="33">
        <v>1.0</v>
      </c>
      <c r="AS296" s="33">
        <f t="shared" si="9"/>
        <v>0</v>
      </c>
      <c r="AT296" s="33">
        <v>2.0</v>
      </c>
      <c r="AU296" s="33">
        <f t="shared" si="10"/>
        <v>0</v>
      </c>
      <c r="AV296" s="33">
        <v>2.0</v>
      </c>
      <c r="AW296" s="34">
        <f t="shared" si="11"/>
        <v>0</v>
      </c>
      <c r="AX296" s="34">
        <f t="shared" si="12"/>
        <v>0</v>
      </c>
      <c r="AY296" s="33"/>
    </row>
    <row r="297" ht="15.75" customHeight="1">
      <c r="A297" s="38"/>
      <c r="B297" s="18"/>
      <c r="C297" s="29"/>
      <c r="D297" s="3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>
        <f t="shared" si="1"/>
        <v>0</v>
      </c>
      <c r="AK297" s="36">
        <f t="shared" si="2"/>
        <v>0</v>
      </c>
      <c r="AL297" s="36">
        <f t="shared" si="3"/>
        <v>0</v>
      </c>
      <c r="AM297" s="36">
        <f t="shared" si="4"/>
        <v>0</v>
      </c>
      <c r="AN297" s="36">
        <f t="shared" si="5"/>
        <v>0</v>
      </c>
      <c r="AO297" s="36">
        <f t="shared" si="6"/>
        <v>0</v>
      </c>
      <c r="AP297" s="36">
        <f t="shared" si="7"/>
        <v>0</v>
      </c>
      <c r="AQ297" s="36">
        <f t="shared" si="8"/>
        <v>0</v>
      </c>
      <c r="AR297" s="36">
        <v>1.0</v>
      </c>
      <c r="AS297" s="36">
        <f t="shared" si="9"/>
        <v>0</v>
      </c>
      <c r="AT297" s="36">
        <v>2.0</v>
      </c>
      <c r="AU297" s="36">
        <f t="shared" si="10"/>
        <v>0</v>
      </c>
      <c r="AV297" s="36">
        <v>2.0</v>
      </c>
      <c r="AW297" s="37">
        <f t="shared" si="11"/>
        <v>0</v>
      </c>
      <c r="AX297" s="37">
        <f t="shared" si="12"/>
        <v>0</v>
      </c>
      <c r="AY297" s="36"/>
    </row>
    <row r="298" ht="15.75" customHeight="1">
      <c r="A298" s="38"/>
      <c r="B298" s="24"/>
      <c r="C298" s="31"/>
      <c r="D298" s="32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>
        <f t="shared" si="1"/>
        <v>0</v>
      </c>
      <c r="AK298" s="33">
        <f t="shared" si="2"/>
        <v>0</v>
      </c>
      <c r="AL298" s="33">
        <f t="shared" si="3"/>
        <v>0</v>
      </c>
      <c r="AM298" s="33">
        <f t="shared" si="4"/>
        <v>0</v>
      </c>
      <c r="AN298" s="33">
        <f t="shared" si="5"/>
        <v>0</v>
      </c>
      <c r="AO298" s="33">
        <f t="shared" si="6"/>
        <v>0</v>
      </c>
      <c r="AP298" s="33">
        <f t="shared" si="7"/>
        <v>0</v>
      </c>
      <c r="AQ298" s="33">
        <f t="shared" si="8"/>
        <v>0</v>
      </c>
      <c r="AR298" s="33">
        <v>1.0</v>
      </c>
      <c r="AS298" s="33">
        <f t="shared" si="9"/>
        <v>0</v>
      </c>
      <c r="AT298" s="33">
        <v>2.0</v>
      </c>
      <c r="AU298" s="33">
        <f t="shared" si="10"/>
        <v>0</v>
      </c>
      <c r="AV298" s="33">
        <v>2.0</v>
      </c>
      <c r="AW298" s="34">
        <f t="shared" si="11"/>
        <v>0</v>
      </c>
      <c r="AX298" s="34">
        <f t="shared" si="12"/>
        <v>0</v>
      </c>
      <c r="AY298" s="33"/>
    </row>
    <row r="299" ht="15.75" customHeight="1">
      <c r="A299" s="38"/>
      <c r="B299" s="18"/>
      <c r="C299" s="29"/>
      <c r="D299" s="3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>
        <f t="shared" si="1"/>
        <v>0</v>
      </c>
      <c r="AK299" s="36">
        <f t="shared" si="2"/>
        <v>0</v>
      </c>
      <c r="AL299" s="36">
        <f t="shared" si="3"/>
        <v>0</v>
      </c>
      <c r="AM299" s="36">
        <f t="shared" si="4"/>
        <v>0</v>
      </c>
      <c r="AN299" s="36">
        <f t="shared" si="5"/>
        <v>0</v>
      </c>
      <c r="AO299" s="36">
        <f t="shared" si="6"/>
        <v>0</v>
      </c>
      <c r="AP299" s="36">
        <f t="shared" si="7"/>
        <v>0</v>
      </c>
      <c r="AQ299" s="36">
        <f t="shared" si="8"/>
        <v>0</v>
      </c>
      <c r="AR299" s="36">
        <v>1.0</v>
      </c>
      <c r="AS299" s="36">
        <f t="shared" si="9"/>
        <v>0</v>
      </c>
      <c r="AT299" s="36">
        <v>2.0</v>
      </c>
      <c r="AU299" s="36">
        <f t="shared" si="10"/>
        <v>0</v>
      </c>
      <c r="AV299" s="36">
        <v>2.0</v>
      </c>
      <c r="AW299" s="37">
        <f t="shared" si="11"/>
        <v>0</v>
      </c>
      <c r="AX299" s="37">
        <f t="shared" si="12"/>
        <v>0</v>
      </c>
      <c r="AY299" s="36"/>
    </row>
    <row r="300" ht="15.75" customHeight="1">
      <c r="A300" s="38"/>
      <c r="B300" s="24"/>
      <c r="C300" s="31"/>
      <c r="D300" s="32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>
        <f t="shared" si="1"/>
        <v>0</v>
      </c>
      <c r="AK300" s="33">
        <f t="shared" si="2"/>
        <v>0</v>
      </c>
      <c r="AL300" s="33">
        <f t="shared" si="3"/>
        <v>0</v>
      </c>
      <c r="AM300" s="33">
        <f t="shared" si="4"/>
        <v>0</v>
      </c>
      <c r="AN300" s="33">
        <f t="shared" si="5"/>
        <v>0</v>
      </c>
      <c r="AO300" s="33">
        <f t="shared" si="6"/>
        <v>0</v>
      </c>
      <c r="AP300" s="33">
        <f t="shared" si="7"/>
        <v>0</v>
      </c>
      <c r="AQ300" s="33">
        <f t="shared" si="8"/>
        <v>0</v>
      </c>
      <c r="AR300" s="33">
        <v>1.0</v>
      </c>
      <c r="AS300" s="33">
        <f t="shared" si="9"/>
        <v>0</v>
      </c>
      <c r="AT300" s="33">
        <v>2.0</v>
      </c>
      <c r="AU300" s="33">
        <f t="shared" si="10"/>
        <v>0</v>
      </c>
      <c r="AV300" s="33">
        <v>2.0</v>
      </c>
      <c r="AW300" s="34">
        <f t="shared" si="11"/>
        <v>0</v>
      </c>
      <c r="AX300" s="34">
        <f t="shared" si="12"/>
        <v>0</v>
      </c>
      <c r="AY300" s="33"/>
    </row>
    <row r="301" ht="15.75" customHeight="1">
      <c r="A301" s="38"/>
      <c r="B301" s="18"/>
      <c r="C301" s="29"/>
      <c r="D301" s="3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>
        <f t="shared" si="1"/>
        <v>0</v>
      </c>
      <c r="AK301" s="36">
        <f t="shared" si="2"/>
        <v>0</v>
      </c>
      <c r="AL301" s="36">
        <f t="shared" si="3"/>
        <v>0</v>
      </c>
      <c r="AM301" s="36">
        <f t="shared" si="4"/>
        <v>0</v>
      </c>
      <c r="AN301" s="36">
        <f t="shared" si="5"/>
        <v>0</v>
      </c>
      <c r="AO301" s="36">
        <f t="shared" si="6"/>
        <v>0</v>
      </c>
      <c r="AP301" s="36">
        <f t="shared" si="7"/>
        <v>0</v>
      </c>
      <c r="AQ301" s="36">
        <f t="shared" si="8"/>
        <v>0</v>
      </c>
      <c r="AR301" s="36">
        <v>1.0</v>
      </c>
      <c r="AS301" s="36">
        <f t="shared" si="9"/>
        <v>0</v>
      </c>
      <c r="AT301" s="36">
        <v>2.0</v>
      </c>
      <c r="AU301" s="36">
        <f t="shared" si="10"/>
        <v>0</v>
      </c>
      <c r="AV301" s="36">
        <v>2.0</v>
      </c>
      <c r="AW301" s="37">
        <f t="shared" si="11"/>
        <v>0</v>
      </c>
      <c r="AX301" s="37">
        <f t="shared" si="12"/>
        <v>0</v>
      </c>
      <c r="AY301" s="36"/>
    </row>
    <row r="302" ht="15.75" customHeight="1">
      <c r="A302" s="38"/>
      <c r="B302" s="24"/>
      <c r="C302" s="31"/>
      <c r="D302" s="32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>
        <f t="shared" si="1"/>
        <v>0</v>
      </c>
      <c r="AK302" s="33">
        <f t="shared" si="2"/>
        <v>0</v>
      </c>
      <c r="AL302" s="33">
        <f t="shared" si="3"/>
        <v>0</v>
      </c>
      <c r="AM302" s="33">
        <f t="shared" si="4"/>
        <v>0</v>
      </c>
      <c r="AN302" s="33">
        <f t="shared" si="5"/>
        <v>0</v>
      </c>
      <c r="AO302" s="33">
        <f t="shared" si="6"/>
        <v>0</v>
      </c>
      <c r="AP302" s="33">
        <f t="shared" si="7"/>
        <v>0</v>
      </c>
      <c r="AQ302" s="33">
        <f t="shared" si="8"/>
        <v>0</v>
      </c>
      <c r="AR302" s="33">
        <v>1.0</v>
      </c>
      <c r="AS302" s="33">
        <f t="shared" si="9"/>
        <v>0</v>
      </c>
      <c r="AT302" s="33">
        <v>2.0</v>
      </c>
      <c r="AU302" s="33">
        <f t="shared" si="10"/>
        <v>0</v>
      </c>
      <c r="AV302" s="33">
        <v>2.0</v>
      </c>
      <c r="AW302" s="34">
        <f t="shared" si="11"/>
        <v>0</v>
      </c>
      <c r="AX302" s="34">
        <f t="shared" si="12"/>
        <v>0</v>
      </c>
      <c r="AY302" s="33"/>
    </row>
    <row r="303" ht="15.75" customHeight="1">
      <c r="A303" s="38"/>
      <c r="B303" s="18"/>
      <c r="C303" s="29"/>
      <c r="D303" s="3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>
        <f t="shared" si="1"/>
        <v>0</v>
      </c>
      <c r="AK303" s="36">
        <f t="shared" si="2"/>
        <v>0</v>
      </c>
      <c r="AL303" s="36">
        <f t="shared" si="3"/>
        <v>0</v>
      </c>
      <c r="AM303" s="36">
        <f t="shared" si="4"/>
        <v>0</v>
      </c>
      <c r="AN303" s="36">
        <f t="shared" si="5"/>
        <v>0</v>
      </c>
      <c r="AO303" s="36">
        <f t="shared" si="6"/>
        <v>0</v>
      </c>
      <c r="AP303" s="36">
        <f t="shared" si="7"/>
        <v>0</v>
      </c>
      <c r="AQ303" s="36">
        <f t="shared" si="8"/>
        <v>0</v>
      </c>
      <c r="AR303" s="36">
        <v>1.0</v>
      </c>
      <c r="AS303" s="36">
        <f t="shared" si="9"/>
        <v>0</v>
      </c>
      <c r="AT303" s="36">
        <v>2.0</v>
      </c>
      <c r="AU303" s="36">
        <f t="shared" si="10"/>
        <v>0</v>
      </c>
      <c r="AV303" s="36">
        <v>2.0</v>
      </c>
      <c r="AW303" s="37">
        <f t="shared" si="11"/>
        <v>0</v>
      </c>
      <c r="AX303" s="37">
        <f t="shared" si="12"/>
        <v>0</v>
      </c>
      <c r="AY303" s="36"/>
    </row>
    <row r="304" ht="15.75" customHeight="1">
      <c r="A304" s="38"/>
      <c r="B304" s="24"/>
      <c r="C304" s="31"/>
      <c r="D304" s="32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>
        <f t="shared" si="1"/>
        <v>0</v>
      </c>
      <c r="AK304" s="33">
        <f t="shared" si="2"/>
        <v>0</v>
      </c>
      <c r="AL304" s="33">
        <f t="shared" si="3"/>
        <v>0</v>
      </c>
      <c r="AM304" s="33">
        <f t="shared" si="4"/>
        <v>0</v>
      </c>
      <c r="AN304" s="33">
        <f t="shared" si="5"/>
        <v>0</v>
      </c>
      <c r="AO304" s="33">
        <f t="shared" si="6"/>
        <v>0</v>
      </c>
      <c r="AP304" s="33">
        <f t="shared" si="7"/>
        <v>0</v>
      </c>
      <c r="AQ304" s="33">
        <f t="shared" si="8"/>
        <v>0</v>
      </c>
      <c r="AR304" s="33">
        <v>1.0</v>
      </c>
      <c r="AS304" s="33">
        <f t="shared" si="9"/>
        <v>0</v>
      </c>
      <c r="AT304" s="33">
        <v>2.0</v>
      </c>
      <c r="AU304" s="33">
        <f t="shared" si="10"/>
        <v>0</v>
      </c>
      <c r="AV304" s="33">
        <v>2.0</v>
      </c>
      <c r="AW304" s="34">
        <f t="shared" si="11"/>
        <v>0</v>
      </c>
      <c r="AX304" s="34">
        <f t="shared" si="12"/>
        <v>0</v>
      </c>
      <c r="AY304" s="33"/>
    </row>
    <row r="305" ht="15.75" customHeight="1">
      <c r="A305" s="38"/>
      <c r="B305" s="18"/>
      <c r="C305" s="29"/>
      <c r="D305" s="3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>
        <f t="shared" si="1"/>
        <v>0</v>
      </c>
      <c r="AK305" s="36">
        <f t="shared" si="2"/>
        <v>0</v>
      </c>
      <c r="AL305" s="36">
        <f t="shared" si="3"/>
        <v>0</v>
      </c>
      <c r="AM305" s="36">
        <f t="shared" si="4"/>
        <v>0</v>
      </c>
      <c r="AN305" s="36">
        <f t="shared" si="5"/>
        <v>0</v>
      </c>
      <c r="AO305" s="36">
        <f t="shared" si="6"/>
        <v>0</v>
      </c>
      <c r="AP305" s="36">
        <f t="shared" si="7"/>
        <v>0</v>
      </c>
      <c r="AQ305" s="36">
        <f t="shared" si="8"/>
        <v>0</v>
      </c>
      <c r="AR305" s="36">
        <v>1.0</v>
      </c>
      <c r="AS305" s="36">
        <f t="shared" si="9"/>
        <v>0</v>
      </c>
      <c r="AT305" s="36">
        <v>2.0</v>
      </c>
      <c r="AU305" s="36">
        <f t="shared" si="10"/>
        <v>0</v>
      </c>
      <c r="AV305" s="36">
        <v>2.0</v>
      </c>
      <c r="AW305" s="37">
        <f t="shared" si="11"/>
        <v>0</v>
      </c>
      <c r="AX305" s="37">
        <f t="shared" si="12"/>
        <v>0</v>
      </c>
      <c r="AY305" s="36"/>
    </row>
    <row r="306" ht="15.75" customHeight="1">
      <c r="A306" s="38"/>
      <c r="B306" s="24"/>
      <c r="C306" s="31"/>
      <c r="D306" s="32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>
        <f t="shared" si="1"/>
        <v>0</v>
      </c>
      <c r="AK306" s="33">
        <f t="shared" si="2"/>
        <v>0</v>
      </c>
      <c r="AL306" s="33">
        <f t="shared" si="3"/>
        <v>0</v>
      </c>
      <c r="AM306" s="33">
        <f t="shared" si="4"/>
        <v>0</v>
      </c>
      <c r="AN306" s="33">
        <f t="shared" si="5"/>
        <v>0</v>
      </c>
      <c r="AO306" s="33">
        <f t="shared" si="6"/>
        <v>0</v>
      </c>
      <c r="AP306" s="33">
        <f t="shared" si="7"/>
        <v>0</v>
      </c>
      <c r="AQ306" s="33">
        <f t="shared" si="8"/>
        <v>0</v>
      </c>
      <c r="AR306" s="33">
        <v>1.0</v>
      </c>
      <c r="AS306" s="33">
        <f t="shared" si="9"/>
        <v>0</v>
      </c>
      <c r="AT306" s="33">
        <v>2.0</v>
      </c>
      <c r="AU306" s="33">
        <f t="shared" si="10"/>
        <v>0</v>
      </c>
      <c r="AV306" s="33">
        <v>2.0</v>
      </c>
      <c r="AW306" s="34">
        <f t="shared" si="11"/>
        <v>0</v>
      </c>
      <c r="AX306" s="34">
        <f t="shared" si="12"/>
        <v>0</v>
      </c>
      <c r="AY306" s="33"/>
    </row>
    <row r="307" ht="15.75" customHeight="1">
      <c r="A307" s="38"/>
      <c r="B307" s="18"/>
      <c r="C307" s="29"/>
      <c r="D307" s="3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>
        <f t="shared" si="1"/>
        <v>0</v>
      </c>
      <c r="AK307" s="36">
        <f t="shared" si="2"/>
        <v>0</v>
      </c>
      <c r="AL307" s="36">
        <f t="shared" si="3"/>
        <v>0</v>
      </c>
      <c r="AM307" s="36">
        <f t="shared" si="4"/>
        <v>0</v>
      </c>
      <c r="AN307" s="36">
        <f t="shared" si="5"/>
        <v>0</v>
      </c>
      <c r="AO307" s="36">
        <f t="shared" si="6"/>
        <v>0</v>
      </c>
      <c r="AP307" s="36">
        <f t="shared" si="7"/>
        <v>0</v>
      </c>
      <c r="AQ307" s="36">
        <f t="shared" si="8"/>
        <v>0</v>
      </c>
      <c r="AR307" s="36">
        <v>1.0</v>
      </c>
      <c r="AS307" s="36">
        <f t="shared" si="9"/>
        <v>0</v>
      </c>
      <c r="AT307" s="36">
        <v>2.0</v>
      </c>
      <c r="AU307" s="36">
        <f t="shared" si="10"/>
        <v>0</v>
      </c>
      <c r="AV307" s="36">
        <v>2.0</v>
      </c>
      <c r="AW307" s="37">
        <f t="shared" si="11"/>
        <v>0</v>
      </c>
      <c r="AX307" s="37">
        <f t="shared" si="12"/>
        <v>0</v>
      </c>
      <c r="AY307" s="36"/>
    </row>
    <row r="308" ht="15.75" customHeight="1">
      <c r="A308" s="38"/>
      <c r="B308" s="24"/>
      <c r="C308" s="31"/>
      <c r="D308" s="32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>
        <f t="shared" si="1"/>
        <v>0</v>
      </c>
      <c r="AK308" s="33">
        <f t="shared" si="2"/>
        <v>0</v>
      </c>
      <c r="AL308" s="33">
        <f t="shared" si="3"/>
        <v>0</v>
      </c>
      <c r="AM308" s="33">
        <f t="shared" si="4"/>
        <v>0</v>
      </c>
      <c r="AN308" s="33">
        <f t="shared" si="5"/>
        <v>0</v>
      </c>
      <c r="AO308" s="33">
        <f t="shared" si="6"/>
        <v>0</v>
      </c>
      <c r="AP308" s="33">
        <f t="shared" si="7"/>
        <v>0</v>
      </c>
      <c r="AQ308" s="33">
        <f t="shared" si="8"/>
        <v>0</v>
      </c>
      <c r="AR308" s="33">
        <v>1.0</v>
      </c>
      <c r="AS308" s="33">
        <f t="shared" si="9"/>
        <v>0</v>
      </c>
      <c r="AT308" s="33">
        <v>2.0</v>
      </c>
      <c r="AU308" s="33">
        <f t="shared" si="10"/>
        <v>0</v>
      </c>
      <c r="AV308" s="33">
        <v>2.0</v>
      </c>
      <c r="AW308" s="34">
        <f t="shared" si="11"/>
        <v>0</v>
      </c>
      <c r="AX308" s="34">
        <f t="shared" si="12"/>
        <v>0</v>
      </c>
      <c r="AY308" s="33"/>
    </row>
    <row r="309" ht="15.75" customHeight="1">
      <c r="A309" s="38"/>
      <c r="B309" s="18"/>
      <c r="C309" s="29"/>
      <c r="D309" s="3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>
        <f t="shared" si="1"/>
        <v>0</v>
      </c>
      <c r="AK309" s="36">
        <f t="shared" si="2"/>
        <v>0</v>
      </c>
      <c r="AL309" s="36">
        <f t="shared" si="3"/>
        <v>0</v>
      </c>
      <c r="AM309" s="36">
        <f t="shared" si="4"/>
        <v>0</v>
      </c>
      <c r="AN309" s="36">
        <f t="shared" si="5"/>
        <v>0</v>
      </c>
      <c r="AO309" s="36">
        <f t="shared" si="6"/>
        <v>0</v>
      </c>
      <c r="AP309" s="36">
        <f t="shared" si="7"/>
        <v>0</v>
      </c>
      <c r="AQ309" s="36">
        <f t="shared" si="8"/>
        <v>0</v>
      </c>
      <c r="AR309" s="36">
        <v>1.0</v>
      </c>
      <c r="AS309" s="36">
        <f t="shared" si="9"/>
        <v>0</v>
      </c>
      <c r="AT309" s="36">
        <v>2.0</v>
      </c>
      <c r="AU309" s="36">
        <f t="shared" si="10"/>
        <v>0</v>
      </c>
      <c r="AV309" s="36">
        <v>2.0</v>
      </c>
      <c r="AW309" s="37">
        <f t="shared" si="11"/>
        <v>0</v>
      </c>
      <c r="AX309" s="37">
        <f t="shared" si="12"/>
        <v>0</v>
      </c>
      <c r="AY309" s="36"/>
    </row>
    <row r="310" ht="15.75" customHeight="1">
      <c r="A310" s="38"/>
      <c r="B310" s="24"/>
      <c r="C310" s="31"/>
      <c r="D310" s="32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>
        <f t="shared" si="1"/>
        <v>0</v>
      </c>
      <c r="AK310" s="33">
        <f t="shared" si="2"/>
        <v>0</v>
      </c>
      <c r="AL310" s="33">
        <f t="shared" si="3"/>
        <v>0</v>
      </c>
      <c r="AM310" s="33">
        <f t="shared" si="4"/>
        <v>0</v>
      </c>
      <c r="AN310" s="33">
        <f t="shared" si="5"/>
        <v>0</v>
      </c>
      <c r="AO310" s="33">
        <f t="shared" si="6"/>
        <v>0</v>
      </c>
      <c r="AP310" s="33">
        <f t="shared" si="7"/>
        <v>0</v>
      </c>
      <c r="AQ310" s="33">
        <f t="shared" si="8"/>
        <v>0</v>
      </c>
      <c r="AR310" s="33">
        <v>1.0</v>
      </c>
      <c r="AS310" s="33">
        <f t="shared" si="9"/>
        <v>0</v>
      </c>
      <c r="AT310" s="33">
        <v>2.0</v>
      </c>
      <c r="AU310" s="33">
        <f t="shared" si="10"/>
        <v>0</v>
      </c>
      <c r="AV310" s="33">
        <v>2.0</v>
      </c>
      <c r="AW310" s="34">
        <f t="shared" si="11"/>
        <v>0</v>
      </c>
      <c r="AX310" s="34">
        <f t="shared" si="12"/>
        <v>0</v>
      </c>
      <c r="AY310" s="33"/>
    </row>
    <row r="311" ht="15.75" customHeight="1">
      <c r="A311" s="38"/>
      <c r="B311" s="18"/>
      <c r="C311" s="29"/>
      <c r="D311" s="3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>
        <f t="shared" si="1"/>
        <v>0</v>
      </c>
      <c r="AK311" s="36">
        <f t="shared" si="2"/>
        <v>0</v>
      </c>
      <c r="AL311" s="36">
        <f t="shared" si="3"/>
        <v>0</v>
      </c>
      <c r="AM311" s="36">
        <f t="shared" si="4"/>
        <v>0</v>
      </c>
      <c r="AN311" s="36">
        <f t="shared" si="5"/>
        <v>0</v>
      </c>
      <c r="AO311" s="36">
        <f t="shared" si="6"/>
        <v>0</v>
      </c>
      <c r="AP311" s="36">
        <f t="shared" si="7"/>
        <v>0</v>
      </c>
      <c r="AQ311" s="36">
        <f t="shared" si="8"/>
        <v>0</v>
      </c>
      <c r="AR311" s="36">
        <v>1.0</v>
      </c>
      <c r="AS311" s="36">
        <f t="shared" si="9"/>
        <v>0</v>
      </c>
      <c r="AT311" s="36">
        <v>2.0</v>
      </c>
      <c r="AU311" s="36">
        <f t="shared" si="10"/>
        <v>0</v>
      </c>
      <c r="AV311" s="36">
        <v>2.0</v>
      </c>
      <c r="AW311" s="37">
        <f t="shared" si="11"/>
        <v>0</v>
      </c>
      <c r="AX311" s="37">
        <f t="shared" si="12"/>
        <v>0</v>
      </c>
      <c r="AY311" s="36"/>
    </row>
    <row r="312" ht="15.75" customHeight="1">
      <c r="A312" s="38"/>
      <c r="B312" s="24"/>
      <c r="C312" s="31"/>
      <c r="D312" s="32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>
        <f t="shared" si="1"/>
        <v>0</v>
      </c>
      <c r="AK312" s="33">
        <f t="shared" si="2"/>
        <v>0</v>
      </c>
      <c r="AL312" s="33">
        <f t="shared" si="3"/>
        <v>0</v>
      </c>
      <c r="AM312" s="33">
        <f t="shared" si="4"/>
        <v>0</v>
      </c>
      <c r="AN312" s="33">
        <f t="shared" si="5"/>
        <v>0</v>
      </c>
      <c r="AO312" s="33">
        <f t="shared" si="6"/>
        <v>0</v>
      </c>
      <c r="AP312" s="33">
        <f t="shared" si="7"/>
        <v>0</v>
      </c>
      <c r="AQ312" s="33">
        <f t="shared" si="8"/>
        <v>0</v>
      </c>
      <c r="AR312" s="33">
        <v>1.0</v>
      </c>
      <c r="AS312" s="33">
        <f t="shared" si="9"/>
        <v>0</v>
      </c>
      <c r="AT312" s="33">
        <v>2.0</v>
      </c>
      <c r="AU312" s="33">
        <f t="shared" si="10"/>
        <v>0</v>
      </c>
      <c r="AV312" s="33">
        <v>2.0</v>
      </c>
      <c r="AW312" s="34">
        <f t="shared" si="11"/>
        <v>0</v>
      </c>
      <c r="AX312" s="34">
        <f t="shared" si="12"/>
        <v>0</v>
      </c>
      <c r="AY312" s="33"/>
    </row>
    <row r="313" ht="15.75" customHeight="1">
      <c r="A313" s="38"/>
      <c r="B313" s="18"/>
      <c r="C313" s="29"/>
      <c r="D313" s="3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>
        <f t="shared" si="1"/>
        <v>0</v>
      </c>
      <c r="AK313" s="36">
        <f t="shared" si="2"/>
        <v>0</v>
      </c>
      <c r="AL313" s="36">
        <f t="shared" si="3"/>
        <v>0</v>
      </c>
      <c r="AM313" s="36">
        <f t="shared" si="4"/>
        <v>0</v>
      </c>
      <c r="AN313" s="36">
        <f t="shared" si="5"/>
        <v>0</v>
      </c>
      <c r="AO313" s="36">
        <f t="shared" si="6"/>
        <v>0</v>
      </c>
      <c r="AP313" s="36">
        <f t="shared" si="7"/>
        <v>0</v>
      </c>
      <c r="AQ313" s="36">
        <f t="shared" si="8"/>
        <v>0</v>
      </c>
      <c r="AR313" s="36">
        <v>1.0</v>
      </c>
      <c r="AS313" s="36">
        <f t="shared" si="9"/>
        <v>0</v>
      </c>
      <c r="AT313" s="36">
        <v>2.0</v>
      </c>
      <c r="AU313" s="36">
        <f t="shared" si="10"/>
        <v>0</v>
      </c>
      <c r="AV313" s="36">
        <v>2.0</v>
      </c>
      <c r="AW313" s="37">
        <f t="shared" si="11"/>
        <v>0</v>
      </c>
      <c r="AX313" s="37">
        <f t="shared" si="12"/>
        <v>0</v>
      </c>
      <c r="AY313" s="36"/>
    </row>
    <row r="314" ht="15.75" customHeight="1">
      <c r="A314" s="38"/>
      <c r="B314" s="24"/>
      <c r="C314" s="31"/>
      <c r="D314" s="32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>
        <f t="shared" si="1"/>
        <v>0</v>
      </c>
      <c r="AK314" s="33">
        <f t="shared" si="2"/>
        <v>0</v>
      </c>
      <c r="AL314" s="33">
        <f t="shared" si="3"/>
        <v>0</v>
      </c>
      <c r="AM314" s="33">
        <f t="shared" si="4"/>
        <v>0</v>
      </c>
      <c r="AN314" s="33">
        <f t="shared" si="5"/>
        <v>0</v>
      </c>
      <c r="AO314" s="33">
        <f t="shared" si="6"/>
        <v>0</v>
      </c>
      <c r="AP314" s="33">
        <f t="shared" si="7"/>
        <v>0</v>
      </c>
      <c r="AQ314" s="33">
        <f t="shared" si="8"/>
        <v>0</v>
      </c>
      <c r="AR314" s="33">
        <v>1.0</v>
      </c>
      <c r="AS314" s="33">
        <f t="shared" si="9"/>
        <v>0</v>
      </c>
      <c r="AT314" s="33">
        <v>2.0</v>
      </c>
      <c r="AU314" s="33">
        <f t="shared" si="10"/>
        <v>0</v>
      </c>
      <c r="AV314" s="33">
        <v>2.0</v>
      </c>
      <c r="AW314" s="34">
        <f t="shared" si="11"/>
        <v>0</v>
      </c>
      <c r="AX314" s="34">
        <f t="shared" si="12"/>
        <v>0</v>
      </c>
      <c r="AY314" s="33"/>
    </row>
    <row r="315" ht="15.75" customHeight="1">
      <c r="A315" s="38"/>
      <c r="B315" s="18"/>
      <c r="C315" s="29"/>
      <c r="D315" s="3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>
        <f t="shared" si="1"/>
        <v>0</v>
      </c>
      <c r="AK315" s="36">
        <f t="shared" si="2"/>
        <v>0</v>
      </c>
      <c r="AL315" s="36">
        <f t="shared" si="3"/>
        <v>0</v>
      </c>
      <c r="AM315" s="36">
        <f t="shared" si="4"/>
        <v>0</v>
      </c>
      <c r="AN315" s="36">
        <f t="shared" si="5"/>
        <v>0</v>
      </c>
      <c r="AO315" s="36">
        <f t="shared" si="6"/>
        <v>0</v>
      </c>
      <c r="AP315" s="36">
        <f t="shared" si="7"/>
        <v>0</v>
      </c>
      <c r="AQ315" s="36">
        <f t="shared" si="8"/>
        <v>0</v>
      </c>
      <c r="AR315" s="36">
        <v>1.0</v>
      </c>
      <c r="AS315" s="36">
        <f t="shared" si="9"/>
        <v>0</v>
      </c>
      <c r="AT315" s="36">
        <v>2.0</v>
      </c>
      <c r="AU315" s="36">
        <f t="shared" si="10"/>
        <v>0</v>
      </c>
      <c r="AV315" s="36">
        <v>2.0</v>
      </c>
      <c r="AW315" s="37">
        <f t="shared" si="11"/>
        <v>0</v>
      </c>
      <c r="AX315" s="37">
        <f t="shared" si="12"/>
        <v>0</v>
      </c>
      <c r="AY315" s="36"/>
    </row>
    <row r="316" ht="15.75" customHeight="1">
      <c r="A316" s="38"/>
      <c r="B316" s="24"/>
      <c r="C316" s="31"/>
      <c r="D316" s="32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>
        <f t="shared" si="1"/>
        <v>0</v>
      </c>
      <c r="AK316" s="33">
        <f t="shared" si="2"/>
        <v>0</v>
      </c>
      <c r="AL316" s="33">
        <f t="shared" si="3"/>
        <v>0</v>
      </c>
      <c r="AM316" s="33">
        <f t="shared" si="4"/>
        <v>0</v>
      </c>
      <c r="AN316" s="33">
        <f t="shared" si="5"/>
        <v>0</v>
      </c>
      <c r="AO316" s="33">
        <f t="shared" si="6"/>
        <v>0</v>
      </c>
      <c r="AP316" s="33">
        <f t="shared" si="7"/>
        <v>0</v>
      </c>
      <c r="AQ316" s="33">
        <f t="shared" si="8"/>
        <v>0</v>
      </c>
      <c r="AR316" s="33">
        <v>1.0</v>
      </c>
      <c r="AS316" s="33">
        <f t="shared" si="9"/>
        <v>0</v>
      </c>
      <c r="AT316" s="33">
        <v>2.0</v>
      </c>
      <c r="AU316" s="33">
        <f t="shared" si="10"/>
        <v>0</v>
      </c>
      <c r="AV316" s="33">
        <v>2.0</v>
      </c>
      <c r="AW316" s="34">
        <f t="shared" si="11"/>
        <v>0</v>
      </c>
      <c r="AX316" s="34">
        <f t="shared" si="12"/>
        <v>0</v>
      </c>
      <c r="AY316" s="33"/>
    </row>
    <row r="317" ht="15.75" customHeight="1">
      <c r="A317" s="38"/>
      <c r="B317" s="18"/>
      <c r="C317" s="29"/>
      <c r="D317" s="3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>
        <f t="shared" si="1"/>
        <v>0</v>
      </c>
      <c r="AK317" s="36">
        <f t="shared" si="2"/>
        <v>0</v>
      </c>
      <c r="AL317" s="36">
        <f t="shared" si="3"/>
        <v>0</v>
      </c>
      <c r="AM317" s="36">
        <f t="shared" si="4"/>
        <v>0</v>
      </c>
      <c r="AN317" s="36">
        <f t="shared" si="5"/>
        <v>0</v>
      </c>
      <c r="AO317" s="36">
        <f t="shared" si="6"/>
        <v>0</v>
      </c>
      <c r="AP317" s="36">
        <f t="shared" si="7"/>
        <v>0</v>
      </c>
      <c r="AQ317" s="36">
        <f t="shared" si="8"/>
        <v>0</v>
      </c>
      <c r="AR317" s="36">
        <v>1.0</v>
      </c>
      <c r="AS317" s="36">
        <f t="shared" si="9"/>
        <v>0</v>
      </c>
      <c r="AT317" s="36">
        <v>2.0</v>
      </c>
      <c r="AU317" s="36">
        <f t="shared" si="10"/>
        <v>0</v>
      </c>
      <c r="AV317" s="36">
        <v>2.0</v>
      </c>
      <c r="AW317" s="37">
        <f t="shared" si="11"/>
        <v>0</v>
      </c>
      <c r="AX317" s="37">
        <f t="shared" si="12"/>
        <v>0</v>
      </c>
      <c r="AY317" s="36"/>
    </row>
    <row r="318" ht="15.75" customHeight="1">
      <c r="A318" s="38"/>
      <c r="B318" s="24"/>
      <c r="C318" s="31"/>
      <c r="D318" s="32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>
        <f t="shared" si="1"/>
        <v>0</v>
      </c>
      <c r="AK318" s="33">
        <f t="shared" si="2"/>
        <v>0</v>
      </c>
      <c r="AL318" s="33">
        <f t="shared" si="3"/>
        <v>0</v>
      </c>
      <c r="AM318" s="33">
        <f t="shared" si="4"/>
        <v>0</v>
      </c>
      <c r="AN318" s="33">
        <f t="shared" si="5"/>
        <v>0</v>
      </c>
      <c r="AO318" s="33">
        <f t="shared" si="6"/>
        <v>0</v>
      </c>
      <c r="AP318" s="33">
        <f t="shared" si="7"/>
        <v>0</v>
      </c>
      <c r="AQ318" s="33">
        <f t="shared" si="8"/>
        <v>0</v>
      </c>
      <c r="AR318" s="33">
        <v>1.0</v>
      </c>
      <c r="AS318" s="33">
        <f t="shared" si="9"/>
        <v>0</v>
      </c>
      <c r="AT318" s="33">
        <v>2.0</v>
      </c>
      <c r="AU318" s="33">
        <f t="shared" si="10"/>
        <v>0</v>
      </c>
      <c r="AV318" s="33">
        <v>2.0</v>
      </c>
      <c r="AW318" s="34">
        <f t="shared" si="11"/>
        <v>0</v>
      </c>
      <c r="AX318" s="34">
        <f t="shared" si="12"/>
        <v>0</v>
      </c>
      <c r="AY318" s="33"/>
    </row>
    <row r="319" ht="15.75" customHeight="1">
      <c r="A319" s="38"/>
      <c r="B319" s="18"/>
      <c r="C319" s="29"/>
      <c r="D319" s="3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>
        <f t="shared" si="1"/>
        <v>0</v>
      </c>
      <c r="AK319" s="36">
        <f t="shared" si="2"/>
        <v>0</v>
      </c>
      <c r="AL319" s="36">
        <f t="shared" si="3"/>
        <v>0</v>
      </c>
      <c r="AM319" s="36">
        <f t="shared" si="4"/>
        <v>0</v>
      </c>
      <c r="AN319" s="36">
        <f t="shared" si="5"/>
        <v>0</v>
      </c>
      <c r="AO319" s="36">
        <f t="shared" si="6"/>
        <v>0</v>
      </c>
      <c r="AP319" s="36">
        <f t="shared" si="7"/>
        <v>0</v>
      </c>
      <c r="AQ319" s="36">
        <f t="shared" si="8"/>
        <v>0</v>
      </c>
      <c r="AR319" s="36">
        <v>1.0</v>
      </c>
      <c r="AS319" s="36">
        <f t="shared" si="9"/>
        <v>0</v>
      </c>
      <c r="AT319" s="36">
        <v>2.0</v>
      </c>
      <c r="AU319" s="36">
        <f t="shared" si="10"/>
        <v>0</v>
      </c>
      <c r="AV319" s="36">
        <v>2.0</v>
      </c>
      <c r="AW319" s="37">
        <f t="shared" si="11"/>
        <v>0</v>
      </c>
      <c r="AX319" s="37">
        <f t="shared" si="12"/>
        <v>0</v>
      </c>
      <c r="AY319" s="36"/>
    </row>
    <row r="320" ht="15.75" customHeight="1">
      <c r="A320" s="38"/>
      <c r="B320" s="24"/>
      <c r="C320" s="31"/>
      <c r="D320" s="32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>
        <f t="shared" si="1"/>
        <v>0</v>
      </c>
      <c r="AK320" s="33">
        <f t="shared" si="2"/>
        <v>0</v>
      </c>
      <c r="AL320" s="33">
        <f t="shared" si="3"/>
        <v>0</v>
      </c>
      <c r="AM320" s="33">
        <f t="shared" si="4"/>
        <v>0</v>
      </c>
      <c r="AN320" s="33">
        <f t="shared" si="5"/>
        <v>0</v>
      </c>
      <c r="AO320" s="33">
        <f t="shared" si="6"/>
        <v>0</v>
      </c>
      <c r="AP320" s="33">
        <f t="shared" si="7"/>
        <v>0</v>
      </c>
      <c r="AQ320" s="33">
        <f t="shared" si="8"/>
        <v>0</v>
      </c>
      <c r="AR320" s="33">
        <v>1.0</v>
      </c>
      <c r="AS320" s="33">
        <f t="shared" si="9"/>
        <v>0</v>
      </c>
      <c r="AT320" s="33">
        <v>2.0</v>
      </c>
      <c r="AU320" s="33">
        <f t="shared" si="10"/>
        <v>0</v>
      </c>
      <c r="AV320" s="33">
        <v>2.0</v>
      </c>
      <c r="AW320" s="34">
        <f t="shared" si="11"/>
        <v>0</v>
      </c>
      <c r="AX320" s="34">
        <f t="shared" si="12"/>
        <v>0</v>
      </c>
      <c r="AY320" s="33"/>
    </row>
    <row r="321" ht="15.75" customHeight="1">
      <c r="A321" s="38"/>
      <c r="B321" s="18"/>
      <c r="C321" s="29"/>
      <c r="D321" s="3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>
        <f t="shared" si="1"/>
        <v>0</v>
      </c>
      <c r="AK321" s="36">
        <f t="shared" si="2"/>
        <v>0</v>
      </c>
      <c r="AL321" s="36">
        <f t="shared" si="3"/>
        <v>0</v>
      </c>
      <c r="AM321" s="36">
        <f t="shared" si="4"/>
        <v>0</v>
      </c>
      <c r="AN321" s="36">
        <f t="shared" si="5"/>
        <v>0</v>
      </c>
      <c r="AO321" s="36">
        <f t="shared" si="6"/>
        <v>0</v>
      </c>
      <c r="AP321" s="36">
        <f t="shared" si="7"/>
        <v>0</v>
      </c>
      <c r="AQ321" s="36">
        <f t="shared" si="8"/>
        <v>0</v>
      </c>
      <c r="AR321" s="36">
        <v>1.0</v>
      </c>
      <c r="AS321" s="36">
        <f t="shared" si="9"/>
        <v>0</v>
      </c>
      <c r="AT321" s="36">
        <v>2.0</v>
      </c>
      <c r="AU321" s="36">
        <f t="shared" si="10"/>
        <v>0</v>
      </c>
      <c r="AV321" s="36">
        <v>2.0</v>
      </c>
      <c r="AW321" s="37">
        <f t="shared" si="11"/>
        <v>0</v>
      </c>
      <c r="AX321" s="37">
        <f t="shared" si="12"/>
        <v>0</v>
      </c>
      <c r="AY321" s="36"/>
    </row>
    <row r="322" ht="15.75" customHeight="1">
      <c r="A322" s="38"/>
      <c r="B322" s="24"/>
      <c r="C322" s="31"/>
      <c r="D322" s="32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>
        <f t="shared" si="1"/>
        <v>0</v>
      </c>
      <c r="AK322" s="33">
        <f t="shared" si="2"/>
        <v>0</v>
      </c>
      <c r="AL322" s="33">
        <f t="shared" si="3"/>
        <v>0</v>
      </c>
      <c r="AM322" s="33">
        <f t="shared" si="4"/>
        <v>0</v>
      </c>
      <c r="AN322" s="33">
        <f t="shared" si="5"/>
        <v>0</v>
      </c>
      <c r="AO322" s="33">
        <f t="shared" si="6"/>
        <v>0</v>
      </c>
      <c r="AP322" s="33">
        <f t="shared" si="7"/>
        <v>0</v>
      </c>
      <c r="AQ322" s="33">
        <f t="shared" si="8"/>
        <v>0</v>
      </c>
      <c r="AR322" s="33">
        <v>1.0</v>
      </c>
      <c r="AS322" s="33">
        <f t="shared" si="9"/>
        <v>0</v>
      </c>
      <c r="AT322" s="33">
        <v>2.0</v>
      </c>
      <c r="AU322" s="33">
        <f t="shared" si="10"/>
        <v>0</v>
      </c>
      <c r="AV322" s="33">
        <v>2.0</v>
      </c>
      <c r="AW322" s="34">
        <f t="shared" si="11"/>
        <v>0</v>
      </c>
      <c r="AX322" s="34">
        <f t="shared" si="12"/>
        <v>0</v>
      </c>
      <c r="AY322" s="33"/>
    </row>
    <row r="323" ht="15.75" customHeight="1">
      <c r="A323" s="38"/>
      <c r="B323" s="18"/>
      <c r="C323" s="29"/>
      <c r="D323" s="3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>
        <f t="shared" si="1"/>
        <v>0</v>
      </c>
      <c r="AK323" s="36">
        <f t="shared" si="2"/>
        <v>0</v>
      </c>
      <c r="AL323" s="36">
        <f t="shared" si="3"/>
        <v>0</v>
      </c>
      <c r="AM323" s="36">
        <f t="shared" si="4"/>
        <v>0</v>
      </c>
      <c r="AN323" s="36">
        <f t="shared" si="5"/>
        <v>0</v>
      </c>
      <c r="AO323" s="36">
        <f t="shared" si="6"/>
        <v>0</v>
      </c>
      <c r="AP323" s="36">
        <f t="shared" si="7"/>
        <v>0</v>
      </c>
      <c r="AQ323" s="36">
        <f t="shared" si="8"/>
        <v>0</v>
      </c>
      <c r="AR323" s="36">
        <v>1.0</v>
      </c>
      <c r="AS323" s="36">
        <f t="shared" si="9"/>
        <v>0</v>
      </c>
      <c r="AT323" s="36">
        <v>2.0</v>
      </c>
      <c r="AU323" s="36">
        <f t="shared" si="10"/>
        <v>0</v>
      </c>
      <c r="AV323" s="36">
        <v>2.0</v>
      </c>
      <c r="AW323" s="37">
        <f t="shared" si="11"/>
        <v>0</v>
      </c>
      <c r="AX323" s="37">
        <f t="shared" si="12"/>
        <v>0</v>
      </c>
      <c r="AY323" s="36"/>
    </row>
    <row r="324" ht="15.75" customHeight="1">
      <c r="A324" s="38"/>
      <c r="B324" s="24"/>
      <c r="C324" s="31"/>
      <c r="D324" s="32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>
        <f t="shared" si="1"/>
        <v>0</v>
      </c>
      <c r="AK324" s="33">
        <f t="shared" si="2"/>
        <v>0</v>
      </c>
      <c r="AL324" s="33">
        <f t="shared" si="3"/>
        <v>0</v>
      </c>
      <c r="AM324" s="33">
        <f t="shared" si="4"/>
        <v>0</v>
      </c>
      <c r="AN324" s="33">
        <f t="shared" si="5"/>
        <v>0</v>
      </c>
      <c r="AO324" s="33">
        <f t="shared" si="6"/>
        <v>0</v>
      </c>
      <c r="AP324" s="33">
        <f t="shared" si="7"/>
        <v>0</v>
      </c>
      <c r="AQ324" s="33">
        <f t="shared" si="8"/>
        <v>0</v>
      </c>
      <c r="AR324" s="33">
        <v>1.0</v>
      </c>
      <c r="AS324" s="33">
        <f t="shared" si="9"/>
        <v>0</v>
      </c>
      <c r="AT324" s="33">
        <v>2.0</v>
      </c>
      <c r="AU324" s="33">
        <f t="shared" si="10"/>
        <v>0</v>
      </c>
      <c r="AV324" s="33">
        <v>2.0</v>
      </c>
      <c r="AW324" s="34">
        <f t="shared" si="11"/>
        <v>0</v>
      </c>
      <c r="AX324" s="34">
        <f t="shared" si="12"/>
        <v>0</v>
      </c>
      <c r="AY324" s="33"/>
    </row>
    <row r="325" ht="15.75" customHeight="1">
      <c r="A325" s="38"/>
      <c r="B325" s="18"/>
      <c r="C325" s="29"/>
      <c r="D325" s="3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>
        <f t="shared" si="1"/>
        <v>0</v>
      </c>
      <c r="AK325" s="36">
        <f t="shared" si="2"/>
        <v>0</v>
      </c>
      <c r="AL325" s="36">
        <f t="shared" si="3"/>
        <v>0</v>
      </c>
      <c r="AM325" s="36">
        <f t="shared" si="4"/>
        <v>0</v>
      </c>
      <c r="AN325" s="36">
        <f t="shared" si="5"/>
        <v>0</v>
      </c>
      <c r="AO325" s="36">
        <f t="shared" si="6"/>
        <v>0</v>
      </c>
      <c r="AP325" s="36">
        <f t="shared" si="7"/>
        <v>0</v>
      </c>
      <c r="AQ325" s="36">
        <f t="shared" si="8"/>
        <v>0</v>
      </c>
      <c r="AR325" s="36">
        <v>1.0</v>
      </c>
      <c r="AS325" s="36">
        <f t="shared" si="9"/>
        <v>0</v>
      </c>
      <c r="AT325" s="36">
        <v>2.0</v>
      </c>
      <c r="AU325" s="36">
        <f t="shared" si="10"/>
        <v>0</v>
      </c>
      <c r="AV325" s="36">
        <v>2.0</v>
      </c>
      <c r="AW325" s="37">
        <f t="shared" si="11"/>
        <v>0</v>
      </c>
      <c r="AX325" s="37">
        <f t="shared" si="12"/>
        <v>0</v>
      </c>
      <c r="AY325" s="36"/>
    </row>
    <row r="326" ht="15.75" customHeight="1">
      <c r="A326" s="38"/>
      <c r="B326" s="24"/>
      <c r="C326" s="31"/>
      <c r="D326" s="32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>
        <f t="shared" si="1"/>
        <v>0</v>
      </c>
      <c r="AK326" s="33">
        <f t="shared" si="2"/>
        <v>0</v>
      </c>
      <c r="AL326" s="33">
        <f t="shared" si="3"/>
        <v>0</v>
      </c>
      <c r="AM326" s="33">
        <f t="shared" si="4"/>
        <v>0</v>
      </c>
      <c r="AN326" s="33">
        <f t="shared" si="5"/>
        <v>0</v>
      </c>
      <c r="AO326" s="33">
        <f t="shared" si="6"/>
        <v>0</v>
      </c>
      <c r="AP326" s="33">
        <f t="shared" si="7"/>
        <v>0</v>
      </c>
      <c r="AQ326" s="33">
        <f t="shared" si="8"/>
        <v>0</v>
      </c>
      <c r="AR326" s="33">
        <v>1.0</v>
      </c>
      <c r="AS326" s="33">
        <f t="shared" si="9"/>
        <v>0</v>
      </c>
      <c r="AT326" s="33">
        <v>2.0</v>
      </c>
      <c r="AU326" s="33">
        <f t="shared" si="10"/>
        <v>0</v>
      </c>
      <c r="AV326" s="33">
        <v>2.0</v>
      </c>
      <c r="AW326" s="34">
        <f t="shared" si="11"/>
        <v>0</v>
      </c>
      <c r="AX326" s="34">
        <f t="shared" si="12"/>
        <v>0</v>
      </c>
      <c r="AY326" s="33"/>
    </row>
    <row r="327" ht="15.75" customHeight="1">
      <c r="A327" s="38"/>
      <c r="B327" s="18"/>
      <c r="C327" s="29"/>
      <c r="D327" s="3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>
        <f t="shared" si="1"/>
        <v>0</v>
      </c>
      <c r="AK327" s="36">
        <f t="shared" si="2"/>
        <v>0</v>
      </c>
      <c r="AL327" s="36">
        <f t="shared" si="3"/>
        <v>0</v>
      </c>
      <c r="AM327" s="36">
        <f t="shared" si="4"/>
        <v>0</v>
      </c>
      <c r="AN327" s="36">
        <f t="shared" si="5"/>
        <v>0</v>
      </c>
      <c r="AO327" s="36">
        <f t="shared" si="6"/>
        <v>0</v>
      </c>
      <c r="AP327" s="36">
        <f t="shared" si="7"/>
        <v>0</v>
      </c>
      <c r="AQ327" s="36">
        <f t="shared" si="8"/>
        <v>0</v>
      </c>
      <c r="AR327" s="36">
        <v>1.0</v>
      </c>
      <c r="AS327" s="36">
        <f t="shared" si="9"/>
        <v>0</v>
      </c>
      <c r="AT327" s="36">
        <v>2.0</v>
      </c>
      <c r="AU327" s="36">
        <f t="shared" si="10"/>
        <v>0</v>
      </c>
      <c r="AV327" s="36">
        <v>2.0</v>
      </c>
      <c r="AW327" s="37">
        <f t="shared" si="11"/>
        <v>0</v>
      </c>
      <c r="AX327" s="37">
        <f t="shared" si="12"/>
        <v>0</v>
      </c>
      <c r="AY327" s="36"/>
    </row>
    <row r="328" ht="15.75" customHeight="1">
      <c r="A328" s="38"/>
      <c r="B328" s="24"/>
      <c r="C328" s="31"/>
      <c r="D328" s="32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>
        <f t="shared" si="1"/>
        <v>0</v>
      </c>
      <c r="AK328" s="33">
        <f t="shared" si="2"/>
        <v>0</v>
      </c>
      <c r="AL328" s="33">
        <f t="shared" si="3"/>
        <v>0</v>
      </c>
      <c r="AM328" s="33">
        <f t="shared" si="4"/>
        <v>0</v>
      </c>
      <c r="AN328" s="33">
        <f t="shared" si="5"/>
        <v>0</v>
      </c>
      <c r="AO328" s="33">
        <f t="shared" si="6"/>
        <v>0</v>
      </c>
      <c r="AP328" s="33">
        <f t="shared" si="7"/>
        <v>0</v>
      </c>
      <c r="AQ328" s="33">
        <f t="shared" si="8"/>
        <v>0</v>
      </c>
      <c r="AR328" s="33">
        <v>1.0</v>
      </c>
      <c r="AS328" s="33">
        <f t="shared" si="9"/>
        <v>0</v>
      </c>
      <c r="AT328" s="33">
        <v>2.0</v>
      </c>
      <c r="AU328" s="33">
        <f t="shared" si="10"/>
        <v>0</v>
      </c>
      <c r="AV328" s="33">
        <v>2.0</v>
      </c>
      <c r="AW328" s="34">
        <f t="shared" si="11"/>
        <v>0</v>
      </c>
      <c r="AX328" s="34">
        <f t="shared" si="12"/>
        <v>0</v>
      </c>
      <c r="AY328" s="33"/>
    </row>
    <row r="329" ht="15.75" customHeight="1">
      <c r="A329" s="38"/>
      <c r="B329" s="18"/>
      <c r="C329" s="29"/>
      <c r="D329" s="3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>
        <f t="shared" si="1"/>
        <v>0</v>
      </c>
      <c r="AK329" s="36">
        <f t="shared" si="2"/>
        <v>0</v>
      </c>
      <c r="AL329" s="36">
        <f t="shared" si="3"/>
        <v>0</v>
      </c>
      <c r="AM329" s="36">
        <f t="shared" si="4"/>
        <v>0</v>
      </c>
      <c r="AN329" s="36">
        <f t="shared" si="5"/>
        <v>0</v>
      </c>
      <c r="AO329" s="36">
        <f t="shared" si="6"/>
        <v>0</v>
      </c>
      <c r="AP329" s="36">
        <f t="shared" si="7"/>
        <v>0</v>
      </c>
      <c r="AQ329" s="36">
        <f t="shared" si="8"/>
        <v>0</v>
      </c>
      <c r="AR329" s="36">
        <v>1.0</v>
      </c>
      <c r="AS329" s="36">
        <f t="shared" si="9"/>
        <v>0</v>
      </c>
      <c r="AT329" s="36">
        <v>2.0</v>
      </c>
      <c r="AU329" s="36">
        <f t="shared" si="10"/>
        <v>0</v>
      </c>
      <c r="AV329" s="36">
        <v>2.0</v>
      </c>
      <c r="AW329" s="37">
        <f t="shared" si="11"/>
        <v>0</v>
      </c>
      <c r="AX329" s="37">
        <f t="shared" si="12"/>
        <v>0</v>
      </c>
      <c r="AY329" s="36"/>
    </row>
    <row r="330" ht="15.75" customHeight="1">
      <c r="A330" s="38"/>
      <c r="B330" s="24"/>
      <c r="C330" s="31"/>
      <c r="D330" s="32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>
        <f t="shared" si="1"/>
        <v>0</v>
      </c>
      <c r="AK330" s="33">
        <f t="shared" si="2"/>
        <v>0</v>
      </c>
      <c r="AL330" s="33">
        <f t="shared" si="3"/>
        <v>0</v>
      </c>
      <c r="AM330" s="33">
        <f t="shared" si="4"/>
        <v>0</v>
      </c>
      <c r="AN330" s="33">
        <f t="shared" si="5"/>
        <v>0</v>
      </c>
      <c r="AO330" s="33">
        <f t="shared" si="6"/>
        <v>0</v>
      </c>
      <c r="AP330" s="33">
        <f t="shared" si="7"/>
        <v>0</v>
      </c>
      <c r="AQ330" s="33">
        <f t="shared" si="8"/>
        <v>0</v>
      </c>
      <c r="AR330" s="33">
        <v>1.0</v>
      </c>
      <c r="AS330" s="33">
        <f t="shared" si="9"/>
        <v>0</v>
      </c>
      <c r="AT330" s="33">
        <v>2.0</v>
      </c>
      <c r="AU330" s="33">
        <f t="shared" si="10"/>
        <v>0</v>
      </c>
      <c r="AV330" s="33">
        <v>2.0</v>
      </c>
      <c r="AW330" s="34">
        <f t="shared" si="11"/>
        <v>0</v>
      </c>
      <c r="AX330" s="34">
        <f t="shared" si="12"/>
        <v>0</v>
      </c>
      <c r="AY330" s="33"/>
    </row>
    <row r="331" ht="15.75" customHeight="1">
      <c r="A331" s="38"/>
      <c r="B331" s="18"/>
      <c r="C331" s="29"/>
      <c r="D331" s="3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>
        <f t="shared" si="1"/>
        <v>0</v>
      </c>
      <c r="AK331" s="36">
        <f t="shared" si="2"/>
        <v>0</v>
      </c>
      <c r="AL331" s="36">
        <f t="shared" si="3"/>
        <v>0</v>
      </c>
      <c r="AM331" s="36">
        <f t="shared" si="4"/>
        <v>0</v>
      </c>
      <c r="AN331" s="36">
        <f t="shared" si="5"/>
        <v>0</v>
      </c>
      <c r="AO331" s="36">
        <f t="shared" si="6"/>
        <v>0</v>
      </c>
      <c r="AP331" s="36">
        <f t="shared" si="7"/>
        <v>0</v>
      </c>
      <c r="AQ331" s="36">
        <f t="shared" si="8"/>
        <v>0</v>
      </c>
      <c r="AR331" s="36">
        <v>1.0</v>
      </c>
      <c r="AS331" s="36">
        <f t="shared" si="9"/>
        <v>0</v>
      </c>
      <c r="AT331" s="36">
        <v>2.0</v>
      </c>
      <c r="AU331" s="36">
        <f t="shared" si="10"/>
        <v>0</v>
      </c>
      <c r="AV331" s="36">
        <v>2.0</v>
      </c>
      <c r="AW331" s="37">
        <f t="shared" si="11"/>
        <v>0</v>
      </c>
      <c r="AX331" s="37">
        <f t="shared" si="12"/>
        <v>0</v>
      </c>
      <c r="AY331" s="36"/>
    </row>
    <row r="332" ht="15.75" customHeight="1">
      <c r="A332" s="38"/>
      <c r="B332" s="24"/>
      <c r="C332" s="31"/>
      <c r="D332" s="32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>
        <f t="shared" si="1"/>
        <v>0</v>
      </c>
      <c r="AK332" s="33">
        <f t="shared" si="2"/>
        <v>0</v>
      </c>
      <c r="AL332" s="33">
        <f t="shared" si="3"/>
        <v>0</v>
      </c>
      <c r="AM332" s="33">
        <f t="shared" si="4"/>
        <v>0</v>
      </c>
      <c r="AN332" s="33">
        <f t="shared" si="5"/>
        <v>0</v>
      </c>
      <c r="AO332" s="33">
        <f t="shared" si="6"/>
        <v>0</v>
      </c>
      <c r="AP332" s="33">
        <f t="shared" si="7"/>
        <v>0</v>
      </c>
      <c r="AQ332" s="33">
        <f t="shared" si="8"/>
        <v>0</v>
      </c>
      <c r="AR332" s="33">
        <v>1.0</v>
      </c>
      <c r="AS332" s="33">
        <f t="shared" si="9"/>
        <v>0</v>
      </c>
      <c r="AT332" s="33">
        <v>2.0</v>
      </c>
      <c r="AU332" s="33">
        <f t="shared" si="10"/>
        <v>0</v>
      </c>
      <c r="AV332" s="33">
        <v>2.0</v>
      </c>
      <c r="AW332" s="34">
        <f t="shared" si="11"/>
        <v>0</v>
      </c>
      <c r="AX332" s="34">
        <f t="shared" si="12"/>
        <v>0</v>
      </c>
      <c r="AY332" s="33"/>
    </row>
    <row r="333" ht="15.75" customHeight="1">
      <c r="A333" s="38"/>
      <c r="B333" s="18"/>
      <c r="C333" s="29"/>
      <c r="D333" s="3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>
        <f t="shared" si="1"/>
        <v>0</v>
      </c>
      <c r="AK333" s="36">
        <f t="shared" si="2"/>
        <v>0</v>
      </c>
      <c r="AL333" s="36">
        <f t="shared" si="3"/>
        <v>0</v>
      </c>
      <c r="AM333" s="36">
        <f t="shared" si="4"/>
        <v>0</v>
      </c>
      <c r="AN333" s="36">
        <f t="shared" si="5"/>
        <v>0</v>
      </c>
      <c r="AO333" s="36">
        <f t="shared" si="6"/>
        <v>0</v>
      </c>
      <c r="AP333" s="36">
        <f t="shared" si="7"/>
        <v>0</v>
      </c>
      <c r="AQ333" s="36">
        <f t="shared" si="8"/>
        <v>0</v>
      </c>
      <c r="AR333" s="36">
        <v>1.0</v>
      </c>
      <c r="AS333" s="36">
        <f t="shared" si="9"/>
        <v>0</v>
      </c>
      <c r="AT333" s="36">
        <v>2.0</v>
      </c>
      <c r="AU333" s="36">
        <f t="shared" si="10"/>
        <v>0</v>
      </c>
      <c r="AV333" s="36">
        <v>2.0</v>
      </c>
      <c r="AW333" s="37">
        <f t="shared" si="11"/>
        <v>0</v>
      </c>
      <c r="AX333" s="37">
        <f t="shared" si="12"/>
        <v>0</v>
      </c>
      <c r="AY333" s="36"/>
    </row>
    <row r="334" ht="15.75" customHeight="1">
      <c r="A334" s="38"/>
      <c r="B334" s="24"/>
      <c r="C334" s="31"/>
      <c r="D334" s="32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>
        <f t="shared" si="1"/>
        <v>0</v>
      </c>
      <c r="AK334" s="33">
        <f t="shared" si="2"/>
        <v>0</v>
      </c>
      <c r="AL334" s="33">
        <f t="shared" si="3"/>
        <v>0</v>
      </c>
      <c r="AM334" s="33">
        <f t="shared" si="4"/>
        <v>0</v>
      </c>
      <c r="AN334" s="33">
        <f t="shared" si="5"/>
        <v>0</v>
      </c>
      <c r="AO334" s="33">
        <f t="shared" si="6"/>
        <v>0</v>
      </c>
      <c r="AP334" s="33">
        <f t="shared" si="7"/>
        <v>0</v>
      </c>
      <c r="AQ334" s="33">
        <f t="shared" si="8"/>
        <v>0</v>
      </c>
      <c r="AR334" s="33">
        <v>1.0</v>
      </c>
      <c r="AS334" s="33">
        <f t="shared" si="9"/>
        <v>0</v>
      </c>
      <c r="AT334" s="33">
        <v>2.0</v>
      </c>
      <c r="AU334" s="33">
        <f t="shared" si="10"/>
        <v>0</v>
      </c>
      <c r="AV334" s="33">
        <v>2.0</v>
      </c>
      <c r="AW334" s="34">
        <f t="shared" si="11"/>
        <v>0</v>
      </c>
      <c r="AX334" s="34">
        <f t="shared" si="12"/>
        <v>0</v>
      </c>
      <c r="AY334" s="33"/>
    </row>
    <row r="335" ht="15.75" customHeight="1">
      <c r="A335" s="38"/>
      <c r="B335" s="18"/>
      <c r="C335" s="29"/>
      <c r="D335" s="3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>
        <f t="shared" si="1"/>
        <v>0</v>
      </c>
      <c r="AK335" s="36">
        <f t="shared" si="2"/>
        <v>0</v>
      </c>
      <c r="AL335" s="36">
        <f t="shared" si="3"/>
        <v>0</v>
      </c>
      <c r="AM335" s="36">
        <f t="shared" si="4"/>
        <v>0</v>
      </c>
      <c r="AN335" s="36">
        <f t="shared" si="5"/>
        <v>0</v>
      </c>
      <c r="AO335" s="36">
        <f t="shared" si="6"/>
        <v>0</v>
      </c>
      <c r="AP335" s="36">
        <f t="shared" si="7"/>
        <v>0</v>
      </c>
      <c r="AQ335" s="36">
        <f t="shared" si="8"/>
        <v>0</v>
      </c>
      <c r="AR335" s="36">
        <v>1.0</v>
      </c>
      <c r="AS335" s="36">
        <f t="shared" si="9"/>
        <v>0</v>
      </c>
      <c r="AT335" s="36">
        <v>2.0</v>
      </c>
      <c r="AU335" s="36">
        <f t="shared" si="10"/>
        <v>0</v>
      </c>
      <c r="AV335" s="36">
        <v>2.0</v>
      </c>
      <c r="AW335" s="37">
        <f t="shared" si="11"/>
        <v>0</v>
      </c>
      <c r="AX335" s="37">
        <f t="shared" si="12"/>
        <v>0</v>
      </c>
      <c r="AY335" s="36"/>
    </row>
    <row r="336" ht="15.75" customHeight="1">
      <c r="A336" s="38"/>
      <c r="B336" s="24"/>
      <c r="C336" s="31"/>
      <c r="D336" s="32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>
        <f t="shared" si="1"/>
        <v>0</v>
      </c>
      <c r="AK336" s="33">
        <f t="shared" si="2"/>
        <v>0</v>
      </c>
      <c r="AL336" s="33">
        <f t="shared" si="3"/>
        <v>0</v>
      </c>
      <c r="AM336" s="33">
        <f t="shared" si="4"/>
        <v>0</v>
      </c>
      <c r="AN336" s="33">
        <f t="shared" si="5"/>
        <v>0</v>
      </c>
      <c r="AO336" s="33">
        <f t="shared" si="6"/>
        <v>0</v>
      </c>
      <c r="AP336" s="33">
        <f t="shared" si="7"/>
        <v>0</v>
      </c>
      <c r="AQ336" s="33">
        <f t="shared" si="8"/>
        <v>0</v>
      </c>
      <c r="AR336" s="33">
        <v>1.0</v>
      </c>
      <c r="AS336" s="33">
        <f t="shared" si="9"/>
        <v>0</v>
      </c>
      <c r="AT336" s="33">
        <v>2.0</v>
      </c>
      <c r="AU336" s="33">
        <f t="shared" si="10"/>
        <v>0</v>
      </c>
      <c r="AV336" s="33">
        <v>2.0</v>
      </c>
      <c r="AW336" s="34">
        <f t="shared" si="11"/>
        <v>0</v>
      </c>
      <c r="AX336" s="34">
        <f t="shared" si="12"/>
        <v>0</v>
      </c>
      <c r="AY336" s="33"/>
    </row>
    <row r="337" ht="15.75" customHeight="1">
      <c r="A337" s="38"/>
      <c r="B337" s="18"/>
      <c r="C337" s="29"/>
      <c r="D337" s="3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>
        <f t="shared" si="1"/>
        <v>0</v>
      </c>
      <c r="AK337" s="36">
        <f t="shared" si="2"/>
        <v>0</v>
      </c>
      <c r="AL337" s="36">
        <f t="shared" si="3"/>
        <v>0</v>
      </c>
      <c r="AM337" s="36">
        <f t="shared" si="4"/>
        <v>0</v>
      </c>
      <c r="AN337" s="36">
        <f t="shared" si="5"/>
        <v>0</v>
      </c>
      <c r="AO337" s="36">
        <f t="shared" si="6"/>
        <v>0</v>
      </c>
      <c r="AP337" s="36">
        <f t="shared" si="7"/>
        <v>0</v>
      </c>
      <c r="AQ337" s="36">
        <f t="shared" si="8"/>
        <v>0</v>
      </c>
      <c r="AR337" s="36">
        <v>1.0</v>
      </c>
      <c r="AS337" s="36">
        <f t="shared" si="9"/>
        <v>0</v>
      </c>
      <c r="AT337" s="36">
        <v>2.0</v>
      </c>
      <c r="AU337" s="36">
        <f t="shared" si="10"/>
        <v>0</v>
      </c>
      <c r="AV337" s="36">
        <v>2.0</v>
      </c>
      <c r="AW337" s="37">
        <f t="shared" si="11"/>
        <v>0</v>
      </c>
      <c r="AX337" s="37">
        <f t="shared" si="12"/>
        <v>0</v>
      </c>
      <c r="AY337" s="36"/>
    </row>
    <row r="338" ht="15.75" customHeight="1">
      <c r="A338" s="38"/>
      <c r="B338" s="24"/>
      <c r="C338" s="31"/>
      <c r="D338" s="32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>
        <f t="shared" si="1"/>
        <v>0</v>
      </c>
      <c r="AK338" s="33">
        <f t="shared" si="2"/>
        <v>0</v>
      </c>
      <c r="AL338" s="33">
        <f t="shared" si="3"/>
        <v>0</v>
      </c>
      <c r="AM338" s="33">
        <f t="shared" si="4"/>
        <v>0</v>
      </c>
      <c r="AN338" s="33">
        <f t="shared" si="5"/>
        <v>0</v>
      </c>
      <c r="AO338" s="33">
        <f t="shared" si="6"/>
        <v>0</v>
      </c>
      <c r="AP338" s="33">
        <f t="shared" si="7"/>
        <v>0</v>
      </c>
      <c r="AQ338" s="33">
        <f t="shared" si="8"/>
        <v>0</v>
      </c>
      <c r="AR338" s="33">
        <v>1.0</v>
      </c>
      <c r="AS338" s="33">
        <f t="shared" si="9"/>
        <v>0</v>
      </c>
      <c r="AT338" s="33">
        <v>2.0</v>
      </c>
      <c r="AU338" s="33">
        <f t="shared" si="10"/>
        <v>0</v>
      </c>
      <c r="AV338" s="33">
        <v>2.0</v>
      </c>
      <c r="AW338" s="34">
        <f t="shared" si="11"/>
        <v>0</v>
      </c>
      <c r="AX338" s="34">
        <f t="shared" si="12"/>
        <v>0</v>
      </c>
      <c r="AY338" s="33"/>
    </row>
    <row r="339" ht="15.75" customHeight="1">
      <c r="A339" s="38"/>
      <c r="B339" s="18"/>
      <c r="C339" s="29"/>
      <c r="D339" s="3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>
        <f t="shared" si="1"/>
        <v>0</v>
      </c>
      <c r="AK339" s="36">
        <f t="shared" si="2"/>
        <v>0</v>
      </c>
      <c r="AL339" s="36">
        <f t="shared" si="3"/>
        <v>0</v>
      </c>
      <c r="AM339" s="36">
        <f t="shared" si="4"/>
        <v>0</v>
      </c>
      <c r="AN339" s="36">
        <f t="shared" si="5"/>
        <v>0</v>
      </c>
      <c r="AO339" s="36">
        <f t="shared" si="6"/>
        <v>0</v>
      </c>
      <c r="AP339" s="36">
        <f t="shared" si="7"/>
        <v>0</v>
      </c>
      <c r="AQ339" s="36">
        <f t="shared" si="8"/>
        <v>0</v>
      </c>
      <c r="AR339" s="36">
        <v>1.0</v>
      </c>
      <c r="AS339" s="36">
        <f t="shared" si="9"/>
        <v>0</v>
      </c>
      <c r="AT339" s="36">
        <v>2.0</v>
      </c>
      <c r="AU339" s="36">
        <f t="shared" si="10"/>
        <v>0</v>
      </c>
      <c r="AV339" s="36">
        <v>2.0</v>
      </c>
      <c r="AW339" s="37">
        <f t="shared" si="11"/>
        <v>0</v>
      </c>
      <c r="AX339" s="37">
        <f t="shared" si="12"/>
        <v>0</v>
      </c>
      <c r="AY339" s="36"/>
    </row>
    <row r="340" ht="15.75" customHeight="1">
      <c r="A340" s="38"/>
      <c r="B340" s="24"/>
      <c r="C340" s="31"/>
      <c r="D340" s="32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>
        <f t="shared" si="1"/>
        <v>0</v>
      </c>
      <c r="AK340" s="33">
        <f t="shared" si="2"/>
        <v>0</v>
      </c>
      <c r="AL340" s="33">
        <f t="shared" si="3"/>
        <v>0</v>
      </c>
      <c r="AM340" s="33">
        <f t="shared" si="4"/>
        <v>0</v>
      </c>
      <c r="AN340" s="33">
        <f t="shared" si="5"/>
        <v>0</v>
      </c>
      <c r="AO340" s="33">
        <f t="shared" si="6"/>
        <v>0</v>
      </c>
      <c r="AP340" s="33">
        <f t="shared" si="7"/>
        <v>0</v>
      </c>
      <c r="AQ340" s="33">
        <f t="shared" si="8"/>
        <v>0</v>
      </c>
      <c r="AR340" s="33">
        <v>1.0</v>
      </c>
      <c r="AS340" s="33">
        <f t="shared" si="9"/>
        <v>0</v>
      </c>
      <c r="AT340" s="33">
        <v>2.0</v>
      </c>
      <c r="AU340" s="33">
        <f t="shared" si="10"/>
        <v>0</v>
      </c>
      <c r="AV340" s="33">
        <v>2.0</v>
      </c>
      <c r="AW340" s="34">
        <f t="shared" si="11"/>
        <v>0</v>
      </c>
      <c r="AX340" s="34">
        <f t="shared" si="12"/>
        <v>0</v>
      </c>
      <c r="AY340" s="33"/>
    </row>
    <row r="341" ht="15.75" customHeight="1">
      <c r="A341" s="38"/>
      <c r="B341" s="18"/>
      <c r="C341" s="29"/>
      <c r="D341" s="3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>
        <f t="shared" si="1"/>
        <v>0</v>
      </c>
      <c r="AK341" s="36">
        <f t="shared" si="2"/>
        <v>0</v>
      </c>
      <c r="AL341" s="36">
        <f t="shared" si="3"/>
        <v>0</v>
      </c>
      <c r="AM341" s="36">
        <f t="shared" si="4"/>
        <v>0</v>
      </c>
      <c r="AN341" s="36">
        <f t="shared" si="5"/>
        <v>0</v>
      </c>
      <c r="AO341" s="36">
        <f t="shared" si="6"/>
        <v>0</v>
      </c>
      <c r="AP341" s="36">
        <f t="shared" si="7"/>
        <v>0</v>
      </c>
      <c r="AQ341" s="36">
        <f t="shared" si="8"/>
        <v>0</v>
      </c>
      <c r="AR341" s="36">
        <v>1.0</v>
      </c>
      <c r="AS341" s="36">
        <f t="shared" si="9"/>
        <v>0</v>
      </c>
      <c r="AT341" s="36">
        <v>2.0</v>
      </c>
      <c r="AU341" s="36">
        <f t="shared" si="10"/>
        <v>0</v>
      </c>
      <c r="AV341" s="36">
        <v>2.0</v>
      </c>
      <c r="AW341" s="37">
        <f t="shared" si="11"/>
        <v>0</v>
      </c>
      <c r="AX341" s="37">
        <f t="shared" si="12"/>
        <v>0</v>
      </c>
      <c r="AY341" s="36"/>
    </row>
    <row r="342" ht="15.75" customHeight="1">
      <c r="A342" s="38"/>
      <c r="B342" s="24"/>
      <c r="C342" s="31"/>
      <c r="D342" s="32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>
        <f t="shared" si="1"/>
        <v>0</v>
      </c>
      <c r="AK342" s="33">
        <f t="shared" si="2"/>
        <v>0</v>
      </c>
      <c r="AL342" s="33">
        <f t="shared" si="3"/>
        <v>0</v>
      </c>
      <c r="AM342" s="33">
        <f t="shared" si="4"/>
        <v>0</v>
      </c>
      <c r="AN342" s="33">
        <f t="shared" si="5"/>
        <v>0</v>
      </c>
      <c r="AO342" s="33">
        <f t="shared" si="6"/>
        <v>0</v>
      </c>
      <c r="AP342" s="33">
        <f t="shared" si="7"/>
        <v>0</v>
      </c>
      <c r="AQ342" s="33">
        <f t="shared" si="8"/>
        <v>0</v>
      </c>
      <c r="AR342" s="33">
        <v>1.0</v>
      </c>
      <c r="AS342" s="33">
        <f t="shared" si="9"/>
        <v>0</v>
      </c>
      <c r="AT342" s="33">
        <v>2.0</v>
      </c>
      <c r="AU342" s="33">
        <f t="shared" si="10"/>
        <v>0</v>
      </c>
      <c r="AV342" s="33">
        <v>2.0</v>
      </c>
      <c r="AW342" s="34">
        <f t="shared" si="11"/>
        <v>0</v>
      </c>
      <c r="AX342" s="34">
        <f t="shared" si="12"/>
        <v>0</v>
      </c>
      <c r="AY342" s="33"/>
    </row>
    <row r="343" ht="15.75" customHeight="1">
      <c r="A343" s="38"/>
      <c r="B343" s="18"/>
      <c r="C343" s="29"/>
      <c r="D343" s="3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>
        <f t="shared" si="1"/>
        <v>0</v>
      </c>
      <c r="AK343" s="36">
        <f t="shared" si="2"/>
        <v>0</v>
      </c>
      <c r="AL343" s="36">
        <f t="shared" si="3"/>
        <v>0</v>
      </c>
      <c r="AM343" s="36">
        <f t="shared" si="4"/>
        <v>0</v>
      </c>
      <c r="AN343" s="36">
        <f t="shared" si="5"/>
        <v>0</v>
      </c>
      <c r="AO343" s="36">
        <f t="shared" si="6"/>
        <v>0</v>
      </c>
      <c r="AP343" s="36">
        <f t="shared" si="7"/>
        <v>0</v>
      </c>
      <c r="AQ343" s="36">
        <f t="shared" si="8"/>
        <v>0</v>
      </c>
      <c r="AR343" s="36">
        <v>1.0</v>
      </c>
      <c r="AS343" s="36">
        <f t="shared" si="9"/>
        <v>0</v>
      </c>
      <c r="AT343" s="36">
        <v>2.0</v>
      </c>
      <c r="AU343" s="36">
        <f t="shared" si="10"/>
        <v>0</v>
      </c>
      <c r="AV343" s="36">
        <v>2.0</v>
      </c>
      <c r="AW343" s="37">
        <f t="shared" si="11"/>
        <v>0</v>
      </c>
      <c r="AX343" s="37">
        <f t="shared" si="12"/>
        <v>0</v>
      </c>
      <c r="AY343" s="36"/>
    </row>
    <row r="344" ht="15.75" customHeight="1">
      <c r="A344" s="38"/>
      <c r="B344" s="24"/>
      <c r="C344" s="31"/>
      <c r="D344" s="32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>
        <f t="shared" si="1"/>
        <v>0</v>
      </c>
      <c r="AK344" s="33">
        <f t="shared" si="2"/>
        <v>0</v>
      </c>
      <c r="AL344" s="33">
        <f t="shared" si="3"/>
        <v>0</v>
      </c>
      <c r="AM344" s="33">
        <f t="shared" si="4"/>
        <v>0</v>
      </c>
      <c r="AN344" s="33">
        <f t="shared" si="5"/>
        <v>0</v>
      </c>
      <c r="AO344" s="33">
        <f t="shared" si="6"/>
        <v>0</v>
      </c>
      <c r="AP344" s="33">
        <f t="shared" si="7"/>
        <v>0</v>
      </c>
      <c r="AQ344" s="33">
        <f t="shared" si="8"/>
        <v>0</v>
      </c>
      <c r="AR344" s="33">
        <v>1.0</v>
      </c>
      <c r="AS344" s="33">
        <f t="shared" si="9"/>
        <v>0</v>
      </c>
      <c r="AT344" s="33">
        <v>2.0</v>
      </c>
      <c r="AU344" s="33">
        <f t="shared" si="10"/>
        <v>0</v>
      </c>
      <c r="AV344" s="33">
        <v>2.0</v>
      </c>
      <c r="AW344" s="34">
        <f t="shared" si="11"/>
        <v>0</v>
      </c>
      <c r="AX344" s="34">
        <f t="shared" si="12"/>
        <v>0</v>
      </c>
      <c r="AY344" s="33"/>
    </row>
    <row r="345" ht="15.75" customHeight="1">
      <c r="A345" s="38"/>
      <c r="B345" s="18"/>
      <c r="C345" s="29"/>
      <c r="D345" s="3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>
        <f t="shared" si="1"/>
        <v>0</v>
      </c>
      <c r="AK345" s="36">
        <f t="shared" si="2"/>
        <v>0</v>
      </c>
      <c r="AL345" s="36">
        <f t="shared" si="3"/>
        <v>0</v>
      </c>
      <c r="AM345" s="36">
        <f t="shared" si="4"/>
        <v>0</v>
      </c>
      <c r="AN345" s="36">
        <f t="shared" si="5"/>
        <v>0</v>
      </c>
      <c r="AO345" s="36">
        <f t="shared" si="6"/>
        <v>0</v>
      </c>
      <c r="AP345" s="36">
        <f t="shared" si="7"/>
        <v>0</v>
      </c>
      <c r="AQ345" s="36">
        <f t="shared" si="8"/>
        <v>0</v>
      </c>
      <c r="AR345" s="36">
        <v>1.0</v>
      </c>
      <c r="AS345" s="36">
        <f t="shared" si="9"/>
        <v>0</v>
      </c>
      <c r="AT345" s="36">
        <v>2.0</v>
      </c>
      <c r="AU345" s="36">
        <f t="shared" si="10"/>
        <v>0</v>
      </c>
      <c r="AV345" s="36">
        <v>2.0</v>
      </c>
      <c r="AW345" s="37">
        <f t="shared" si="11"/>
        <v>0</v>
      </c>
      <c r="AX345" s="37">
        <f t="shared" si="12"/>
        <v>0</v>
      </c>
      <c r="AY345" s="36"/>
    </row>
    <row r="346" ht="15.75" customHeight="1">
      <c r="A346" s="38"/>
      <c r="B346" s="24"/>
      <c r="C346" s="31"/>
      <c r="D346" s="32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>
        <f t="shared" si="1"/>
        <v>0</v>
      </c>
      <c r="AK346" s="33">
        <f t="shared" si="2"/>
        <v>0</v>
      </c>
      <c r="AL346" s="33">
        <f t="shared" si="3"/>
        <v>0</v>
      </c>
      <c r="AM346" s="33">
        <f t="shared" si="4"/>
        <v>0</v>
      </c>
      <c r="AN346" s="33">
        <f t="shared" si="5"/>
        <v>0</v>
      </c>
      <c r="AO346" s="33">
        <f t="shared" si="6"/>
        <v>0</v>
      </c>
      <c r="AP346" s="33">
        <f t="shared" si="7"/>
        <v>0</v>
      </c>
      <c r="AQ346" s="33">
        <f t="shared" si="8"/>
        <v>0</v>
      </c>
      <c r="AR346" s="33">
        <v>1.0</v>
      </c>
      <c r="AS346" s="33">
        <f t="shared" si="9"/>
        <v>0</v>
      </c>
      <c r="AT346" s="33">
        <v>2.0</v>
      </c>
      <c r="AU346" s="33">
        <f t="shared" si="10"/>
        <v>0</v>
      </c>
      <c r="AV346" s="33">
        <v>2.0</v>
      </c>
      <c r="AW346" s="34">
        <f t="shared" si="11"/>
        <v>0</v>
      </c>
      <c r="AX346" s="34">
        <f t="shared" si="12"/>
        <v>0</v>
      </c>
      <c r="AY346" s="33"/>
    </row>
    <row r="347" ht="15.75" customHeight="1">
      <c r="A347" s="38"/>
      <c r="B347" s="18"/>
      <c r="C347" s="29"/>
      <c r="D347" s="3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>
        <f t="shared" si="1"/>
        <v>0</v>
      </c>
      <c r="AK347" s="36">
        <f t="shared" si="2"/>
        <v>0</v>
      </c>
      <c r="AL347" s="36">
        <f t="shared" si="3"/>
        <v>0</v>
      </c>
      <c r="AM347" s="36">
        <f t="shared" si="4"/>
        <v>0</v>
      </c>
      <c r="AN347" s="36">
        <f t="shared" si="5"/>
        <v>0</v>
      </c>
      <c r="AO347" s="36">
        <f t="shared" si="6"/>
        <v>0</v>
      </c>
      <c r="AP347" s="36">
        <f t="shared" si="7"/>
        <v>0</v>
      </c>
      <c r="AQ347" s="36">
        <f t="shared" si="8"/>
        <v>0</v>
      </c>
      <c r="AR347" s="36">
        <v>1.0</v>
      </c>
      <c r="AS347" s="36">
        <f t="shared" si="9"/>
        <v>0</v>
      </c>
      <c r="AT347" s="36">
        <v>2.0</v>
      </c>
      <c r="AU347" s="36">
        <f t="shared" si="10"/>
        <v>0</v>
      </c>
      <c r="AV347" s="36">
        <v>2.0</v>
      </c>
      <c r="AW347" s="37">
        <f t="shared" si="11"/>
        <v>0</v>
      </c>
      <c r="AX347" s="37">
        <f t="shared" si="12"/>
        <v>0</v>
      </c>
      <c r="AY347" s="36"/>
    </row>
    <row r="348" ht="15.75" customHeight="1">
      <c r="A348" s="38"/>
      <c r="B348" s="24"/>
      <c r="C348" s="31"/>
      <c r="D348" s="32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>
        <f t="shared" si="1"/>
        <v>0</v>
      </c>
      <c r="AK348" s="33">
        <f t="shared" si="2"/>
        <v>0</v>
      </c>
      <c r="AL348" s="33">
        <f t="shared" si="3"/>
        <v>0</v>
      </c>
      <c r="AM348" s="33">
        <f t="shared" si="4"/>
        <v>0</v>
      </c>
      <c r="AN348" s="33">
        <f t="shared" si="5"/>
        <v>0</v>
      </c>
      <c r="AO348" s="33">
        <f t="shared" si="6"/>
        <v>0</v>
      </c>
      <c r="AP348" s="33">
        <f t="shared" si="7"/>
        <v>0</v>
      </c>
      <c r="AQ348" s="33">
        <f t="shared" si="8"/>
        <v>0</v>
      </c>
      <c r="AR348" s="33">
        <v>1.0</v>
      </c>
      <c r="AS348" s="33">
        <f t="shared" si="9"/>
        <v>0</v>
      </c>
      <c r="AT348" s="33">
        <v>2.0</v>
      </c>
      <c r="AU348" s="33">
        <f t="shared" si="10"/>
        <v>0</v>
      </c>
      <c r="AV348" s="33">
        <v>2.0</v>
      </c>
      <c r="AW348" s="34">
        <f t="shared" si="11"/>
        <v>0</v>
      </c>
      <c r="AX348" s="34">
        <f t="shared" si="12"/>
        <v>0</v>
      </c>
      <c r="AY348" s="33"/>
    </row>
    <row r="349" ht="15.75" customHeight="1">
      <c r="A349" s="38"/>
      <c r="B349" s="18"/>
      <c r="C349" s="29"/>
      <c r="D349" s="3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>
        <f t="shared" si="1"/>
        <v>0</v>
      </c>
      <c r="AK349" s="36">
        <f t="shared" si="2"/>
        <v>0</v>
      </c>
      <c r="AL349" s="36">
        <f t="shared" si="3"/>
        <v>0</v>
      </c>
      <c r="AM349" s="36">
        <f t="shared" si="4"/>
        <v>0</v>
      </c>
      <c r="AN349" s="36">
        <f t="shared" si="5"/>
        <v>0</v>
      </c>
      <c r="AO349" s="36">
        <f t="shared" si="6"/>
        <v>0</v>
      </c>
      <c r="AP349" s="36">
        <f t="shared" si="7"/>
        <v>0</v>
      </c>
      <c r="AQ349" s="36">
        <f t="shared" si="8"/>
        <v>0</v>
      </c>
      <c r="AR349" s="36">
        <v>1.0</v>
      </c>
      <c r="AS349" s="36">
        <f t="shared" si="9"/>
        <v>0</v>
      </c>
      <c r="AT349" s="36">
        <v>2.0</v>
      </c>
      <c r="AU349" s="36">
        <f t="shared" si="10"/>
        <v>0</v>
      </c>
      <c r="AV349" s="36">
        <v>2.0</v>
      </c>
      <c r="AW349" s="37">
        <f t="shared" si="11"/>
        <v>0</v>
      </c>
      <c r="AX349" s="37">
        <f t="shared" si="12"/>
        <v>0</v>
      </c>
      <c r="AY349" s="36"/>
    </row>
    <row r="350" ht="15.75" customHeight="1">
      <c r="A350" s="38"/>
      <c r="B350" s="24"/>
      <c r="C350" s="31"/>
      <c r="D350" s="32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>
        <f t="shared" si="1"/>
        <v>0</v>
      </c>
      <c r="AK350" s="33">
        <f t="shared" si="2"/>
        <v>0</v>
      </c>
      <c r="AL350" s="33">
        <f t="shared" si="3"/>
        <v>0</v>
      </c>
      <c r="AM350" s="33">
        <f t="shared" si="4"/>
        <v>0</v>
      </c>
      <c r="AN350" s="33">
        <f t="shared" si="5"/>
        <v>0</v>
      </c>
      <c r="AO350" s="33">
        <f t="shared" si="6"/>
        <v>0</v>
      </c>
      <c r="AP350" s="33">
        <f t="shared" si="7"/>
        <v>0</v>
      </c>
      <c r="AQ350" s="33">
        <f t="shared" si="8"/>
        <v>0</v>
      </c>
      <c r="AR350" s="33">
        <v>1.0</v>
      </c>
      <c r="AS350" s="33">
        <f t="shared" si="9"/>
        <v>0</v>
      </c>
      <c r="AT350" s="33">
        <v>2.0</v>
      </c>
      <c r="AU350" s="33">
        <f t="shared" si="10"/>
        <v>0</v>
      </c>
      <c r="AV350" s="33">
        <v>2.0</v>
      </c>
      <c r="AW350" s="34">
        <f t="shared" si="11"/>
        <v>0</v>
      </c>
      <c r="AX350" s="34">
        <f t="shared" si="12"/>
        <v>0</v>
      </c>
      <c r="AY350" s="33"/>
    </row>
    <row r="351" ht="15.75" customHeight="1">
      <c r="A351" s="38"/>
      <c r="B351" s="18"/>
      <c r="C351" s="29"/>
      <c r="D351" s="3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>
        <f t="shared" si="1"/>
        <v>0</v>
      </c>
      <c r="AK351" s="36">
        <f t="shared" si="2"/>
        <v>0</v>
      </c>
      <c r="AL351" s="36">
        <f t="shared" si="3"/>
        <v>0</v>
      </c>
      <c r="AM351" s="36">
        <f t="shared" si="4"/>
        <v>0</v>
      </c>
      <c r="AN351" s="36">
        <f t="shared" si="5"/>
        <v>0</v>
      </c>
      <c r="AO351" s="36">
        <f t="shared" si="6"/>
        <v>0</v>
      </c>
      <c r="AP351" s="36">
        <f t="shared" si="7"/>
        <v>0</v>
      </c>
      <c r="AQ351" s="36">
        <f t="shared" si="8"/>
        <v>0</v>
      </c>
      <c r="AR351" s="36">
        <v>1.0</v>
      </c>
      <c r="AS351" s="36">
        <f t="shared" si="9"/>
        <v>0</v>
      </c>
      <c r="AT351" s="36">
        <v>2.0</v>
      </c>
      <c r="AU351" s="36">
        <f t="shared" si="10"/>
        <v>0</v>
      </c>
      <c r="AV351" s="36">
        <v>2.0</v>
      </c>
      <c r="AW351" s="37">
        <f t="shared" si="11"/>
        <v>0</v>
      </c>
      <c r="AX351" s="37">
        <f t="shared" si="12"/>
        <v>0</v>
      </c>
      <c r="AY351" s="36"/>
    </row>
    <row r="352" ht="15.75" customHeight="1">
      <c r="A352" s="38"/>
      <c r="B352" s="24"/>
      <c r="C352" s="31"/>
      <c r="D352" s="32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>
        <f t="shared" si="1"/>
        <v>0</v>
      </c>
      <c r="AK352" s="33">
        <f t="shared" si="2"/>
        <v>0</v>
      </c>
      <c r="AL352" s="33">
        <f t="shared" si="3"/>
        <v>0</v>
      </c>
      <c r="AM352" s="33">
        <f t="shared" si="4"/>
        <v>0</v>
      </c>
      <c r="AN352" s="33">
        <f t="shared" si="5"/>
        <v>0</v>
      </c>
      <c r="AO352" s="33">
        <f t="shared" si="6"/>
        <v>0</v>
      </c>
      <c r="AP352" s="33">
        <f t="shared" si="7"/>
        <v>0</v>
      </c>
      <c r="AQ352" s="33">
        <f t="shared" si="8"/>
        <v>0</v>
      </c>
      <c r="AR352" s="33">
        <v>1.0</v>
      </c>
      <c r="AS352" s="33">
        <f t="shared" si="9"/>
        <v>0</v>
      </c>
      <c r="AT352" s="33">
        <v>2.0</v>
      </c>
      <c r="AU352" s="33">
        <f t="shared" si="10"/>
        <v>0</v>
      </c>
      <c r="AV352" s="33">
        <v>2.0</v>
      </c>
      <c r="AW352" s="34">
        <f t="shared" si="11"/>
        <v>0</v>
      </c>
      <c r="AX352" s="34">
        <f t="shared" si="12"/>
        <v>0</v>
      </c>
      <c r="AY352" s="33"/>
    </row>
    <row r="353" ht="15.75" customHeight="1">
      <c r="A353" s="38"/>
      <c r="B353" s="18"/>
      <c r="C353" s="29"/>
      <c r="D353" s="3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>
        <f t="shared" si="1"/>
        <v>0</v>
      </c>
      <c r="AK353" s="36">
        <f t="shared" si="2"/>
        <v>0</v>
      </c>
      <c r="AL353" s="36">
        <f t="shared" si="3"/>
        <v>0</v>
      </c>
      <c r="AM353" s="36">
        <f t="shared" si="4"/>
        <v>0</v>
      </c>
      <c r="AN353" s="36">
        <f t="shared" si="5"/>
        <v>0</v>
      </c>
      <c r="AO353" s="36">
        <f t="shared" si="6"/>
        <v>0</v>
      </c>
      <c r="AP353" s="36">
        <f t="shared" si="7"/>
        <v>0</v>
      </c>
      <c r="AQ353" s="36">
        <f t="shared" si="8"/>
        <v>0</v>
      </c>
      <c r="AR353" s="36">
        <v>1.0</v>
      </c>
      <c r="AS353" s="36">
        <f t="shared" si="9"/>
        <v>0</v>
      </c>
      <c r="AT353" s="36">
        <v>2.0</v>
      </c>
      <c r="AU353" s="36">
        <f t="shared" si="10"/>
        <v>0</v>
      </c>
      <c r="AV353" s="36">
        <v>2.0</v>
      </c>
      <c r="AW353" s="37">
        <f t="shared" si="11"/>
        <v>0</v>
      </c>
      <c r="AX353" s="37">
        <f t="shared" si="12"/>
        <v>0</v>
      </c>
      <c r="AY353" s="36"/>
    </row>
    <row r="354" ht="15.75" customHeight="1">
      <c r="A354" s="38"/>
      <c r="B354" s="24"/>
      <c r="C354" s="31"/>
      <c r="D354" s="32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>
        <f t="shared" si="1"/>
        <v>0</v>
      </c>
      <c r="AK354" s="33">
        <f t="shared" si="2"/>
        <v>0</v>
      </c>
      <c r="AL354" s="33">
        <f t="shared" si="3"/>
        <v>0</v>
      </c>
      <c r="AM354" s="33">
        <f t="shared" si="4"/>
        <v>0</v>
      </c>
      <c r="AN354" s="33">
        <f t="shared" si="5"/>
        <v>0</v>
      </c>
      <c r="AO354" s="33">
        <f t="shared" si="6"/>
        <v>0</v>
      </c>
      <c r="AP354" s="33">
        <f t="shared" si="7"/>
        <v>0</v>
      </c>
      <c r="AQ354" s="33">
        <f t="shared" si="8"/>
        <v>0</v>
      </c>
      <c r="AR354" s="33">
        <v>1.0</v>
      </c>
      <c r="AS354" s="33">
        <f t="shared" si="9"/>
        <v>0</v>
      </c>
      <c r="AT354" s="33">
        <v>2.0</v>
      </c>
      <c r="AU354" s="33">
        <f t="shared" si="10"/>
        <v>0</v>
      </c>
      <c r="AV354" s="33">
        <v>2.0</v>
      </c>
      <c r="AW354" s="34">
        <f t="shared" si="11"/>
        <v>0</v>
      </c>
      <c r="AX354" s="34">
        <f t="shared" si="12"/>
        <v>0</v>
      </c>
      <c r="AY354" s="33"/>
    </row>
    <row r="355" ht="15.75" customHeight="1">
      <c r="A355" s="38"/>
      <c r="B355" s="18"/>
      <c r="C355" s="29"/>
      <c r="D355" s="3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>
        <f t="shared" si="1"/>
        <v>0</v>
      </c>
      <c r="AK355" s="36">
        <f t="shared" si="2"/>
        <v>0</v>
      </c>
      <c r="AL355" s="36">
        <f t="shared" si="3"/>
        <v>0</v>
      </c>
      <c r="AM355" s="36">
        <f t="shared" si="4"/>
        <v>0</v>
      </c>
      <c r="AN355" s="36">
        <f t="shared" si="5"/>
        <v>0</v>
      </c>
      <c r="AO355" s="36">
        <f t="shared" si="6"/>
        <v>0</v>
      </c>
      <c r="AP355" s="36">
        <f t="shared" si="7"/>
        <v>0</v>
      </c>
      <c r="AQ355" s="36">
        <f t="shared" si="8"/>
        <v>0</v>
      </c>
      <c r="AR355" s="36">
        <v>1.0</v>
      </c>
      <c r="AS355" s="36">
        <f t="shared" si="9"/>
        <v>0</v>
      </c>
      <c r="AT355" s="36">
        <v>2.0</v>
      </c>
      <c r="AU355" s="36">
        <f t="shared" si="10"/>
        <v>0</v>
      </c>
      <c r="AV355" s="36">
        <v>2.0</v>
      </c>
      <c r="AW355" s="37">
        <f t="shared" si="11"/>
        <v>0</v>
      </c>
      <c r="AX355" s="37">
        <f t="shared" si="12"/>
        <v>0</v>
      </c>
      <c r="AY355" s="36"/>
    </row>
    <row r="356" ht="15.75" customHeight="1">
      <c r="A356" s="38"/>
      <c r="B356" s="24"/>
      <c r="C356" s="31"/>
      <c r="D356" s="32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>
        <f t="shared" si="1"/>
        <v>0</v>
      </c>
      <c r="AK356" s="33">
        <f t="shared" si="2"/>
        <v>0</v>
      </c>
      <c r="AL356" s="33">
        <f t="shared" si="3"/>
        <v>0</v>
      </c>
      <c r="AM356" s="33">
        <f t="shared" si="4"/>
        <v>0</v>
      </c>
      <c r="AN356" s="33">
        <f t="shared" si="5"/>
        <v>0</v>
      </c>
      <c r="AO356" s="33">
        <f t="shared" si="6"/>
        <v>0</v>
      </c>
      <c r="AP356" s="33">
        <f t="shared" si="7"/>
        <v>0</v>
      </c>
      <c r="AQ356" s="33">
        <f t="shared" si="8"/>
        <v>0</v>
      </c>
      <c r="AR356" s="33">
        <v>1.0</v>
      </c>
      <c r="AS356" s="33">
        <f t="shared" si="9"/>
        <v>0</v>
      </c>
      <c r="AT356" s="33">
        <v>2.0</v>
      </c>
      <c r="AU356" s="33">
        <f t="shared" si="10"/>
        <v>0</v>
      </c>
      <c r="AV356" s="33">
        <v>2.0</v>
      </c>
      <c r="AW356" s="34">
        <f t="shared" si="11"/>
        <v>0</v>
      </c>
      <c r="AX356" s="34">
        <f t="shared" si="12"/>
        <v>0</v>
      </c>
      <c r="AY356" s="33"/>
    </row>
    <row r="357" ht="15.75" customHeight="1">
      <c r="A357" s="38"/>
      <c r="B357" s="18"/>
      <c r="C357" s="29"/>
      <c r="D357" s="3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>
        <f t="shared" si="1"/>
        <v>0</v>
      </c>
      <c r="AK357" s="36">
        <f t="shared" si="2"/>
        <v>0</v>
      </c>
      <c r="AL357" s="36">
        <f t="shared" si="3"/>
        <v>0</v>
      </c>
      <c r="AM357" s="36">
        <f t="shared" si="4"/>
        <v>0</v>
      </c>
      <c r="AN357" s="36">
        <f t="shared" si="5"/>
        <v>0</v>
      </c>
      <c r="AO357" s="36">
        <f t="shared" si="6"/>
        <v>0</v>
      </c>
      <c r="AP357" s="36">
        <f t="shared" si="7"/>
        <v>0</v>
      </c>
      <c r="AQ357" s="36">
        <f t="shared" si="8"/>
        <v>0</v>
      </c>
      <c r="AR357" s="36">
        <v>1.0</v>
      </c>
      <c r="AS357" s="36">
        <f t="shared" si="9"/>
        <v>0</v>
      </c>
      <c r="AT357" s="36">
        <v>2.0</v>
      </c>
      <c r="AU357" s="36">
        <f t="shared" si="10"/>
        <v>0</v>
      </c>
      <c r="AV357" s="36">
        <v>2.0</v>
      </c>
      <c r="AW357" s="37">
        <f t="shared" si="11"/>
        <v>0</v>
      </c>
      <c r="AX357" s="37">
        <f t="shared" si="12"/>
        <v>0</v>
      </c>
      <c r="AY357" s="36"/>
    </row>
    <row r="358" ht="15.75" customHeight="1">
      <c r="A358" s="38"/>
      <c r="B358" s="24"/>
      <c r="C358" s="31"/>
      <c r="D358" s="32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>
        <f t="shared" si="1"/>
        <v>0</v>
      </c>
      <c r="AK358" s="33">
        <f t="shared" si="2"/>
        <v>0</v>
      </c>
      <c r="AL358" s="33">
        <f t="shared" si="3"/>
        <v>0</v>
      </c>
      <c r="AM358" s="33">
        <f t="shared" si="4"/>
        <v>0</v>
      </c>
      <c r="AN358" s="33">
        <f t="shared" si="5"/>
        <v>0</v>
      </c>
      <c r="AO358" s="33">
        <f t="shared" si="6"/>
        <v>0</v>
      </c>
      <c r="AP358" s="33">
        <f t="shared" si="7"/>
        <v>0</v>
      </c>
      <c r="AQ358" s="33">
        <f t="shared" si="8"/>
        <v>0</v>
      </c>
      <c r="AR358" s="33">
        <v>1.0</v>
      </c>
      <c r="AS358" s="33">
        <f t="shared" si="9"/>
        <v>0</v>
      </c>
      <c r="AT358" s="33">
        <v>2.0</v>
      </c>
      <c r="AU358" s="33">
        <f t="shared" si="10"/>
        <v>0</v>
      </c>
      <c r="AV358" s="33">
        <v>2.0</v>
      </c>
      <c r="AW358" s="34">
        <f t="shared" si="11"/>
        <v>0</v>
      </c>
      <c r="AX358" s="34">
        <f t="shared" si="12"/>
        <v>0</v>
      </c>
      <c r="AY358" s="33"/>
    </row>
    <row r="359" ht="15.75" customHeight="1">
      <c r="A359" s="38"/>
      <c r="B359" s="18"/>
      <c r="C359" s="29"/>
      <c r="D359" s="3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>
        <f t="shared" si="1"/>
        <v>0</v>
      </c>
      <c r="AK359" s="36">
        <f t="shared" si="2"/>
        <v>0</v>
      </c>
      <c r="AL359" s="36">
        <f t="shared" si="3"/>
        <v>0</v>
      </c>
      <c r="AM359" s="36">
        <f t="shared" si="4"/>
        <v>0</v>
      </c>
      <c r="AN359" s="36">
        <f t="shared" si="5"/>
        <v>0</v>
      </c>
      <c r="AO359" s="36">
        <f t="shared" si="6"/>
        <v>0</v>
      </c>
      <c r="AP359" s="36">
        <f t="shared" si="7"/>
        <v>0</v>
      </c>
      <c r="AQ359" s="36">
        <f t="shared" si="8"/>
        <v>0</v>
      </c>
      <c r="AR359" s="36">
        <v>1.0</v>
      </c>
      <c r="AS359" s="36">
        <f t="shared" si="9"/>
        <v>0</v>
      </c>
      <c r="AT359" s="36">
        <v>2.0</v>
      </c>
      <c r="AU359" s="36">
        <f t="shared" si="10"/>
        <v>0</v>
      </c>
      <c r="AV359" s="36">
        <v>2.0</v>
      </c>
      <c r="AW359" s="37">
        <f t="shared" si="11"/>
        <v>0</v>
      </c>
      <c r="AX359" s="37">
        <f t="shared" si="12"/>
        <v>0</v>
      </c>
      <c r="AY359" s="36"/>
    </row>
    <row r="360" ht="15.75" customHeight="1">
      <c r="A360" s="38"/>
      <c r="B360" s="24"/>
      <c r="C360" s="31"/>
      <c r="D360" s="32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>
        <f t="shared" si="1"/>
        <v>0</v>
      </c>
      <c r="AK360" s="33">
        <f t="shared" si="2"/>
        <v>0</v>
      </c>
      <c r="AL360" s="33">
        <f t="shared" si="3"/>
        <v>0</v>
      </c>
      <c r="AM360" s="33">
        <f t="shared" si="4"/>
        <v>0</v>
      </c>
      <c r="AN360" s="33">
        <f t="shared" si="5"/>
        <v>0</v>
      </c>
      <c r="AO360" s="33">
        <f t="shared" si="6"/>
        <v>0</v>
      </c>
      <c r="AP360" s="33">
        <f t="shared" si="7"/>
        <v>0</v>
      </c>
      <c r="AQ360" s="33">
        <f t="shared" si="8"/>
        <v>0</v>
      </c>
      <c r="AR360" s="33">
        <v>1.0</v>
      </c>
      <c r="AS360" s="33">
        <f t="shared" si="9"/>
        <v>0</v>
      </c>
      <c r="AT360" s="33">
        <v>2.0</v>
      </c>
      <c r="AU360" s="33">
        <f t="shared" si="10"/>
        <v>0</v>
      </c>
      <c r="AV360" s="33">
        <v>2.0</v>
      </c>
      <c r="AW360" s="34">
        <f t="shared" si="11"/>
        <v>0</v>
      </c>
      <c r="AX360" s="34">
        <f t="shared" si="12"/>
        <v>0</v>
      </c>
      <c r="AY360" s="33"/>
    </row>
    <row r="361" ht="15.75" customHeight="1">
      <c r="A361" s="38"/>
      <c r="B361" s="18"/>
      <c r="C361" s="29"/>
      <c r="D361" s="3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>
        <f t="shared" si="1"/>
        <v>0</v>
      </c>
      <c r="AK361" s="36">
        <f t="shared" si="2"/>
        <v>0</v>
      </c>
      <c r="AL361" s="36">
        <f t="shared" si="3"/>
        <v>0</v>
      </c>
      <c r="AM361" s="36">
        <f t="shared" si="4"/>
        <v>0</v>
      </c>
      <c r="AN361" s="36">
        <f t="shared" si="5"/>
        <v>0</v>
      </c>
      <c r="AO361" s="36">
        <f t="shared" si="6"/>
        <v>0</v>
      </c>
      <c r="AP361" s="36">
        <f t="shared" si="7"/>
        <v>0</v>
      </c>
      <c r="AQ361" s="36">
        <f t="shared" si="8"/>
        <v>0</v>
      </c>
      <c r="AR361" s="36">
        <v>1.0</v>
      </c>
      <c r="AS361" s="36">
        <f t="shared" si="9"/>
        <v>0</v>
      </c>
      <c r="AT361" s="36">
        <v>2.0</v>
      </c>
      <c r="AU361" s="36">
        <f t="shared" si="10"/>
        <v>0</v>
      </c>
      <c r="AV361" s="36">
        <v>2.0</v>
      </c>
      <c r="AW361" s="37">
        <f t="shared" si="11"/>
        <v>0</v>
      </c>
      <c r="AX361" s="37">
        <f t="shared" si="12"/>
        <v>0</v>
      </c>
      <c r="AY361" s="36"/>
    </row>
    <row r="362" ht="15.75" customHeight="1">
      <c r="A362" s="38"/>
      <c r="B362" s="24"/>
      <c r="C362" s="31"/>
      <c r="D362" s="32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>
        <f t="shared" si="1"/>
        <v>0</v>
      </c>
      <c r="AK362" s="33">
        <f t="shared" si="2"/>
        <v>0</v>
      </c>
      <c r="AL362" s="33">
        <f t="shared" si="3"/>
        <v>0</v>
      </c>
      <c r="AM362" s="33">
        <f t="shared" si="4"/>
        <v>0</v>
      </c>
      <c r="AN362" s="33">
        <f t="shared" si="5"/>
        <v>0</v>
      </c>
      <c r="AO362" s="33">
        <f t="shared" si="6"/>
        <v>0</v>
      </c>
      <c r="AP362" s="33">
        <f t="shared" si="7"/>
        <v>0</v>
      </c>
      <c r="AQ362" s="33">
        <f t="shared" si="8"/>
        <v>0</v>
      </c>
      <c r="AR362" s="33">
        <v>1.0</v>
      </c>
      <c r="AS362" s="33">
        <f t="shared" si="9"/>
        <v>0</v>
      </c>
      <c r="AT362" s="33">
        <v>2.0</v>
      </c>
      <c r="AU362" s="33">
        <f t="shared" si="10"/>
        <v>0</v>
      </c>
      <c r="AV362" s="33">
        <v>2.0</v>
      </c>
      <c r="AW362" s="34">
        <f t="shared" si="11"/>
        <v>0</v>
      </c>
      <c r="AX362" s="34">
        <f t="shared" si="12"/>
        <v>0</v>
      </c>
      <c r="AY362" s="33"/>
    </row>
    <row r="363" ht="15.75" customHeight="1">
      <c r="A363" s="38"/>
      <c r="B363" s="18"/>
      <c r="C363" s="29"/>
      <c r="D363" s="3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>
        <f t="shared" si="1"/>
        <v>0</v>
      </c>
      <c r="AK363" s="36">
        <f t="shared" si="2"/>
        <v>0</v>
      </c>
      <c r="AL363" s="36">
        <f t="shared" si="3"/>
        <v>0</v>
      </c>
      <c r="AM363" s="36">
        <f t="shared" si="4"/>
        <v>0</v>
      </c>
      <c r="AN363" s="36">
        <f t="shared" si="5"/>
        <v>0</v>
      </c>
      <c r="AO363" s="36">
        <f t="shared" si="6"/>
        <v>0</v>
      </c>
      <c r="AP363" s="36">
        <f t="shared" si="7"/>
        <v>0</v>
      </c>
      <c r="AQ363" s="36">
        <f t="shared" si="8"/>
        <v>0</v>
      </c>
      <c r="AR363" s="36">
        <v>1.0</v>
      </c>
      <c r="AS363" s="36">
        <f t="shared" si="9"/>
        <v>0</v>
      </c>
      <c r="AT363" s="36">
        <v>2.0</v>
      </c>
      <c r="AU363" s="36">
        <f t="shared" si="10"/>
        <v>0</v>
      </c>
      <c r="AV363" s="36">
        <v>2.0</v>
      </c>
      <c r="AW363" s="37">
        <f t="shared" si="11"/>
        <v>0</v>
      </c>
      <c r="AX363" s="37">
        <f t="shared" si="12"/>
        <v>0</v>
      </c>
      <c r="AY363" s="36"/>
    </row>
    <row r="364" ht="15.75" customHeight="1">
      <c r="A364" s="38"/>
      <c r="B364" s="24"/>
      <c r="C364" s="31"/>
      <c r="D364" s="32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>
        <f t="shared" si="1"/>
        <v>0</v>
      </c>
      <c r="AK364" s="33">
        <f t="shared" si="2"/>
        <v>0</v>
      </c>
      <c r="AL364" s="33">
        <f t="shared" si="3"/>
        <v>0</v>
      </c>
      <c r="AM364" s="33">
        <f t="shared" si="4"/>
        <v>0</v>
      </c>
      <c r="AN364" s="33">
        <f t="shared" si="5"/>
        <v>0</v>
      </c>
      <c r="AO364" s="33">
        <f t="shared" si="6"/>
        <v>0</v>
      </c>
      <c r="AP364" s="33">
        <f t="shared" si="7"/>
        <v>0</v>
      </c>
      <c r="AQ364" s="33">
        <f t="shared" si="8"/>
        <v>0</v>
      </c>
      <c r="AR364" s="33">
        <v>1.0</v>
      </c>
      <c r="AS364" s="33">
        <f t="shared" si="9"/>
        <v>0</v>
      </c>
      <c r="AT364" s="33">
        <v>2.0</v>
      </c>
      <c r="AU364" s="33">
        <f t="shared" si="10"/>
        <v>0</v>
      </c>
      <c r="AV364" s="33">
        <v>2.0</v>
      </c>
      <c r="AW364" s="34">
        <f t="shared" si="11"/>
        <v>0</v>
      </c>
      <c r="AX364" s="34">
        <f t="shared" si="12"/>
        <v>0</v>
      </c>
      <c r="AY364" s="33"/>
    </row>
    <row r="365" ht="15.75" customHeight="1">
      <c r="A365" s="38"/>
      <c r="B365" s="18"/>
      <c r="C365" s="29"/>
      <c r="D365" s="3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>
        <f t="shared" si="1"/>
        <v>0</v>
      </c>
      <c r="AK365" s="36">
        <f t="shared" si="2"/>
        <v>0</v>
      </c>
      <c r="AL365" s="36">
        <f t="shared" si="3"/>
        <v>0</v>
      </c>
      <c r="AM365" s="36">
        <f t="shared" si="4"/>
        <v>0</v>
      </c>
      <c r="AN365" s="36">
        <f t="shared" si="5"/>
        <v>0</v>
      </c>
      <c r="AO365" s="36">
        <f t="shared" si="6"/>
        <v>0</v>
      </c>
      <c r="AP365" s="36">
        <f t="shared" si="7"/>
        <v>0</v>
      </c>
      <c r="AQ365" s="36">
        <f t="shared" si="8"/>
        <v>0</v>
      </c>
      <c r="AR365" s="36">
        <v>1.0</v>
      </c>
      <c r="AS365" s="36">
        <f t="shared" si="9"/>
        <v>0</v>
      </c>
      <c r="AT365" s="36">
        <v>2.0</v>
      </c>
      <c r="AU365" s="36">
        <f t="shared" si="10"/>
        <v>0</v>
      </c>
      <c r="AV365" s="36">
        <v>2.0</v>
      </c>
      <c r="AW365" s="37">
        <f t="shared" si="11"/>
        <v>0</v>
      </c>
      <c r="AX365" s="37">
        <f t="shared" si="12"/>
        <v>0</v>
      </c>
      <c r="AY365" s="36"/>
    </row>
    <row r="366" ht="15.75" customHeight="1">
      <c r="A366" s="38"/>
      <c r="B366" s="24"/>
      <c r="C366" s="31"/>
      <c r="D366" s="32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>
        <f t="shared" si="1"/>
        <v>0</v>
      </c>
      <c r="AK366" s="33">
        <f t="shared" si="2"/>
        <v>0</v>
      </c>
      <c r="AL366" s="33">
        <f t="shared" si="3"/>
        <v>0</v>
      </c>
      <c r="AM366" s="33">
        <f t="shared" si="4"/>
        <v>0</v>
      </c>
      <c r="AN366" s="33">
        <f t="shared" si="5"/>
        <v>0</v>
      </c>
      <c r="AO366" s="33">
        <f t="shared" si="6"/>
        <v>0</v>
      </c>
      <c r="AP366" s="33">
        <f t="shared" si="7"/>
        <v>0</v>
      </c>
      <c r="AQ366" s="33">
        <f t="shared" si="8"/>
        <v>0</v>
      </c>
      <c r="AR366" s="33">
        <v>1.0</v>
      </c>
      <c r="AS366" s="33">
        <f t="shared" si="9"/>
        <v>0</v>
      </c>
      <c r="AT366" s="33">
        <v>2.0</v>
      </c>
      <c r="AU366" s="33">
        <f t="shared" si="10"/>
        <v>0</v>
      </c>
      <c r="AV366" s="33">
        <v>2.0</v>
      </c>
      <c r="AW366" s="34">
        <f t="shared" si="11"/>
        <v>0</v>
      </c>
      <c r="AX366" s="34">
        <f t="shared" si="12"/>
        <v>0</v>
      </c>
      <c r="AY366" s="33"/>
    </row>
    <row r="367" ht="15.75" customHeight="1">
      <c r="A367" s="38"/>
      <c r="B367" s="18"/>
      <c r="C367" s="29"/>
      <c r="D367" s="3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>
        <f t="shared" si="1"/>
        <v>0</v>
      </c>
      <c r="AK367" s="36">
        <f t="shared" si="2"/>
        <v>0</v>
      </c>
      <c r="AL367" s="36">
        <f t="shared" si="3"/>
        <v>0</v>
      </c>
      <c r="AM367" s="36">
        <f t="shared" si="4"/>
        <v>0</v>
      </c>
      <c r="AN367" s="36">
        <f t="shared" si="5"/>
        <v>0</v>
      </c>
      <c r="AO367" s="36">
        <f t="shared" si="6"/>
        <v>0</v>
      </c>
      <c r="AP367" s="36">
        <f t="shared" si="7"/>
        <v>0</v>
      </c>
      <c r="AQ367" s="36">
        <f t="shared" si="8"/>
        <v>0</v>
      </c>
      <c r="AR367" s="36">
        <v>1.0</v>
      </c>
      <c r="AS367" s="36">
        <f t="shared" si="9"/>
        <v>0</v>
      </c>
      <c r="AT367" s="36">
        <v>2.0</v>
      </c>
      <c r="AU367" s="36">
        <f t="shared" si="10"/>
        <v>0</v>
      </c>
      <c r="AV367" s="36">
        <v>2.0</v>
      </c>
      <c r="AW367" s="37">
        <f t="shared" si="11"/>
        <v>0</v>
      </c>
      <c r="AX367" s="37">
        <f t="shared" si="12"/>
        <v>0</v>
      </c>
      <c r="AY367" s="36"/>
    </row>
    <row r="368" ht="15.75" customHeight="1">
      <c r="A368" s="38"/>
      <c r="B368" s="24"/>
      <c r="C368" s="31"/>
      <c r="D368" s="32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>
        <f t="shared" si="1"/>
        <v>0</v>
      </c>
      <c r="AK368" s="33">
        <f t="shared" si="2"/>
        <v>0</v>
      </c>
      <c r="AL368" s="33">
        <f t="shared" si="3"/>
        <v>0</v>
      </c>
      <c r="AM368" s="33">
        <f t="shared" si="4"/>
        <v>0</v>
      </c>
      <c r="AN368" s="33">
        <f t="shared" si="5"/>
        <v>0</v>
      </c>
      <c r="AO368" s="33">
        <f t="shared" si="6"/>
        <v>0</v>
      </c>
      <c r="AP368" s="33">
        <f t="shared" si="7"/>
        <v>0</v>
      </c>
      <c r="AQ368" s="33">
        <f t="shared" si="8"/>
        <v>0</v>
      </c>
      <c r="AR368" s="33">
        <v>1.0</v>
      </c>
      <c r="AS368" s="33">
        <f t="shared" si="9"/>
        <v>0</v>
      </c>
      <c r="AT368" s="33">
        <v>2.0</v>
      </c>
      <c r="AU368" s="33">
        <f t="shared" si="10"/>
        <v>0</v>
      </c>
      <c r="AV368" s="33">
        <v>2.0</v>
      </c>
      <c r="AW368" s="34">
        <f t="shared" si="11"/>
        <v>0</v>
      </c>
      <c r="AX368" s="34">
        <f t="shared" si="12"/>
        <v>0</v>
      </c>
      <c r="AY368" s="33"/>
    </row>
    <row r="369" ht="15.75" customHeight="1">
      <c r="A369" s="38"/>
      <c r="B369" s="18"/>
      <c r="C369" s="29"/>
      <c r="D369" s="3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>
        <f t="shared" si="1"/>
        <v>0</v>
      </c>
      <c r="AK369" s="36">
        <f t="shared" si="2"/>
        <v>0</v>
      </c>
      <c r="AL369" s="36">
        <f t="shared" si="3"/>
        <v>0</v>
      </c>
      <c r="AM369" s="36">
        <f t="shared" si="4"/>
        <v>0</v>
      </c>
      <c r="AN369" s="36">
        <f t="shared" si="5"/>
        <v>0</v>
      </c>
      <c r="AO369" s="36">
        <f t="shared" si="6"/>
        <v>0</v>
      </c>
      <c r="AP369" s="36">
        <f t="shared" si="7"/>
        <v>0</v>
      </c>
      <c r="AQ369" s="36">
        <f t="shared" si="8"/>
        <v>0</v>
      </c>
      <c r="AR369" s="36">
        <v>1.0</v>
      </c>
      <c r="AS369" s="36">
        <f t="shared" si="9"/>
        <v>0</v>
      </c>
      <c r="AT369" s="36">
        <v>2.0</v>
      </c>
      <c r="AU369" s="36">
        <f t="shared" si="10"/>
        <v>0</v>
      </c>
      <c r="AV369" s="36">
        <v>2.0</v>
      </c>
      <c r="AW369" s="37">
        <f t="shared" si="11"/>
        <v>0</v>
      </c>
      <c r="AX369" s="37">
        <f t="shared" si="12"/>
        <v>0</v>
      </c>
      <c r="AY369" s="36"/>
    </row>
    <row r="370" ht="15.75" customHeight="1">
      <c r="A370" s="38"/>
      <c r="B370" s="24"/>
      <c r="C370" s="31"/>
      <c r="D370" s="32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>
        <f t="shared" si="1"/>
        <v>0</v>
      </c>
      <c r="AK370" s="33">
        <f t="shared" si="2"/>
        <v>0</v>
      </c>
      <c r="AL370" s="33">
        <f t="shared" si="3"/>
        <v>0</v>
      </c>
      <c r="AM370" s="33">
        <f t="shared" si="4"/>
        <v>0</v>
      </c>
      <c r="AN370" s="33">
        <f t="shared" si="5"/>
        <v>0</v>
      </c>
      <c r="AO370" s="33">
        <f t="shared" si="6"/>
        <v>0</v>
      </c>
      <c r="AP370" s="33">
        <f t="shared" si="7"/>
        <v>0</v>
      </c>
      <c r="AQ370" s="33">
        <f t="shared" si="8"/>
        <v>0</v>
      </c>
      <c r="AR370" s="33">
        <v>1.0</v>
      </c>
      <c r="AS370" s="33">
        <f t="shared" si="9"/>
        <v>0</v>
      </c>
      <c r="AT370" s="33">
        <v>2.0</v>
      </c>
      <c r="AU370" s="33">
        <f t="shared" si="10"/>
        <v>0</v>
      </c>
      <c r="AV370" s="33">
        <v>2.0</v>
      </c>
      <c r="AW370" s="34">
        <f t="shared" si="11"/>
        <v>0</v>
      </c>
      <c r="AX370" s="34">
        <f t="shared" si="12"/>
        <v>0</v>
      </c>
      <c r="AY370" s="33"/>
    </row>
    <row r="371" ht="15.75" customHeight="1">
      <c r="A371" s="38"/>
      <c r="B371" s="18"/>
      <c r="C371" s="29"/>
      <c r="D371" s="3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>
        <f t="shared" si="1"/>
        <v>0</v>
      </c>
      <c r="AK371" s="36">
        <f t="shared" si="2"/>
        <v>0</v>
      </c>
      <c r="AL371" s="36">
        <f t="shared" si="3"/>
        <v>0</v>
      </c>
      <c r="AM371" s="36">
        <f t="shared" si="4"/>
        <v>0</v>
      </c>
      <c r="AN371" s="36">
        <f t="shared" si="5"/>
        <v>0</v>
      </c>
      <c r="AO371" s="36">
        <f t="shared" si="6"/>
        <v>0</v>
      </c>
      <c r="AP371" s="36">
        <f t="shared" si="7"/>
        <v>0</v>
      </c>
      <c r="AQ371" s="36">
        <f t="shared" si="8"/>
        <v>0</v>
      </c>
      <c r="AR371" s="36">
        <v>1.0</v>
      </c>
      <c r="AS371" s="36">
        <f t="shared" si="9"/>
        <v>0</v>
      </c>
      <c r="AT371" s="36">
        <v>2.0</v>
      </c>
      <c r="AU371" s="36">
        <f t="shared" si="10"/>
        <v>0</v>
      </c>
      <c r="AV371" s="36">
        <v>2.0</v>
      </c>
      <c r="AW371" s="37">
        <f t="shared" si="11"/>
        <v>0</v>
      </c>
      <c r="AX371" s="37">
        <f t="shared" si="12"/>
        <v>0</v>
      </c>
      <c r="AY371" s="36"/>
    </row>
    <row r="372" ht="15.75" customHeight="1">
      <c r="A372" s="38"/>
      <c r="B372" s="24"/>
      <c r="C372" s="31"/>
      <c r="D372" s="32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>
        <f t="shared" si="1"/>
        <v>0</v>
      </c>
      <c r="AK372" s="33">
        <f t="shared" si="2"/>
        <v>0</v>
      </c>
      <c r="AL372" s="33">
        <f t="shared" si="3"/>
        <v>0</v>
      </c>
      <c r="AM372" s="33">
        <f t="shared" si="4"/>
        <v>0</v>
      </c>
      <c r="AN372" s="33">
        <f t="shared" si="5"/>
        <v>0</v>
      </c>
      <c r="AO372" s="33">
        <f t="shared" si="6"/>
        <v>0</v>
      </c>
      <c r="AP372" s="33">
        <f t="shared" si="7"/>
        <v>0</v>
      </c>
      <c r="AQ372" s="33">
        <f t="shared" si="8"/>
        <v>0</v>
      </c>
      <c r="AR372" s="33">
        <v>1.0</v>
      </c>
      <c r="AS372" s="33">
        <f t="shared" si="9"/>
        <v>0</v>
      </c>
      <c r="AT372" s="33">
        <v>2.0</v>
      </c>
      <c r="AU372" s="33">
        <f t="shared" si="10"/>
        <v>0</v>
      </c>
      <c r="AV372" s="33">
        <v>2.0</v>
      </c>
      <c r="AW372" s="34">
        <f t="shared" si="11"/>
        <v>0</v>
      </c>
      <c r="AX372" s="34">
        <f t="shared" si="12"/>
        <v>0</v>
      </c>
      <c r="AY372" s="33"/>
    </row>
    <row r="373" ht="15.75" customHeight="1">
      <c r="A373" s="38"/>
      <c r="B373" s="18"/>
      <c r="C373" s="29"/>
      <c r="D373" s="3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>
        <f t="shared" si="1"/>
        <v>0</v>
      </c>
      <c r="AK373" s="36">
        <f t="shared" si="2"/>
        <v>0</v>
      </c>
      <c r="AL373" s="36">
        <f t="shared" si="3"/>
        <v>0</v>
      </c>
      <c r="AM373" s="36">
        <f t="shared" si="4"/>
        <v>0</v>
      </c>
      <c r="AN373" s="36">
        <f t="shared" si="5"/>
        <v>0</v>
      </c>
      <c r="AO373" s="36">
        <f t="shared" si="6"/>
        <v>0</v>
      </c>
      <c r="AP373" s="36">
        <f t="shared" si="7"/>
        <v>0</v>
      </c>
      <c r="AQ373" s="36">
        <f t="shared" si="8"/>
        <v>0</v>
      </c>
      <c r="AR373" s="36">
        <v>1.0</v>
      </c>
      <c r="AS373" s="36">
        <f t="shared" si="9"/>
        <v>0</v>
      </c>
      <c r="AT373" s="36">
        <v>2.0</v>
      </c>
      <c r="AU373" s="36">
        <f t="shared" si="10"/>
        <v>0</v>
      </c>
      <c r="AV373" s="36">
        <v>2.0</v>
      </c>
      <c r="AW373" s="37">
        <f t="shared" si="11"/>
        <v>0</v>
      </c>
      <c r="AX373" s="37">
        <f t="shared" si="12"/>
        <v>0</v>
      </c>
      <c r="AY373" s="36"/>
    </row>
    <row r="374" ht="15.75" customHeight="1">
      <c r="A374" s="38"/>
      <c r="B374" s="24"/>
      <c r="C374" s="31"/>
      <c r="D374" s="32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>
        <f t="shared" si="1"/>
        <v>0</v>
      </c>
      <c r="AK374" s="33">
        <f t="shared" si="2"/>
        <v>0</v>
      </c>
      <c r="AL374" s="33">
        <f t="shared" si="3"/>
        <v>0</v>
      </c>
      <c r="AM374" s="33">
        <f t="shared" si="4"/>
        <v>0</v>
      </c>
      <c r="AN374" s="33">
        <f t="shared" si="5"/>
        <v>0</v>
      </c>
      <c r="AO374" s="33">
        <f t="shared" si="6"/>
        <v>0</v>
      </c>
      <c r="AP374" s="33">
        <f t="shared" si="7"/>
        <v>0</v>
      </c>
      <c r="AQ374" s="33">
        <f t="shared" si="8"/>
        <v>0</v>
      </c>
      <c r="AR374" s="33">
        <v>1.0</v>
      </c>
      <c r="AS374" s="33">
        <f t="shared" si="9"/>
        <v>0</v>
      </c>
      <c r="AT374" s="33">
        <v>2.0</v>
      </c>
      <c r="AU374" s="33">
        <f t="shared" si="10"/>
        <v>0</v>
      </c>
      <c r="AV374" s="33">
        <v>2.0</v>
      </c>
      <c r="AW374" s="34">
        <f t="shared" si="11"/>
        <v>0</v>
      </c>
      <c r="AX374" s="34">
        <f t="shared" si="12"/>
        <v>0</v>
      </c>
      <c r="AY374" s="33"/>
    </row>
    <row r="375" ht="15.75" customHeight="1">
      <c r="A375" s="38"/>
      <c r="B375" s="18"/>
      <c r="C375" s="29"/>
      <c r="D375" s="3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>
        <f t="shared" si="1"/>
        <v>0</v>
      </c>
      <c r="AK375" s="36">
        <f t="shared" si="2"/>
        <v>0</v>
      </c>
      <c r="AL375" s="36">
        <f t="shared" si="3"/>
        <v>0</v>
      </c>
      <c r="AM375" s="36">
        <f t="shared" si="4"/>
        <v>0</v>
      </c>
      <c r="AN375" s="36">
        <f t="shared" si="5"/>
        <v>0</v>
      </c>
      <c r="AO375" s="36">
        <f t="shared" si="6"/>
        <v>0</v>
      </c>
      <c r="AP375" s="36">
        <f t="shared" si="7"/>
        <v>0</v>
      </c>
      <c r="AQ375" s="36">
        <f t="shared" si="8"/>
        <v>0</v>
      </c>
      <c r="AR375" s="36">
        <v>1.0</v>
      </c>
      <c r="AS375" s="36">
        <f t="shared" si="9"/>
        <v>0</v>
      </c>
      <c r="AT375" s="36">
        <v>2.0</v>
      </c>
      <c r="AU375" s="36">
        <f t="shared" si="10"/>
        <v>0</v>
      </c>
      <c r="AV375" s="36">
        <v>2.0</v>
      </c>
      <c r="AW375" s="37">
        <f t="shared" si="11"/>
        <v>0</v>
      </c>
      <c r="AX375" s="37">
        <f t="shared" si="12"/>
        <v>0</v>
      </c>
      <c r="AY375" s="36"/>
    </row>
    <row r="376" ht="15.75" customHeight="1">
      <c r="A376" s="38"/>
      <c r="B376" s="24"/>
      <c r="C376" s="31"/>
      <c r="D376" s="32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>
        <f t="shared" si="1"/>
        <v>0</v>
      </c>
      <c r="AK376" s="33">
        <f t="shared" si="2"/>
        <v>0</v>
      </c>
      <c r="AL376" s="33">
        <f t="shared" si="3"/>
        <v>0</v>
      </c>
      <c r="AM376" s="33">
        <f t="shared" si="4"/>
        <v>0</v>
      </c>
      <c r="AN376" s="33">
        <f t="shared" si="5"/>
        <v>0</v>
      </c>
      <c r="AO376" s="33">
        <f t="shared" si="6"/>
        <v>0</v>
      </c>
      <c r="AP376" s="33">
        <f t="shared" si="7"/>
        <v>0</v>
      </c>
      <c r="AQ376" s="33">
        <f t="shared" si="8"/>
        <v>0</v>
      </c>
      <c r="AR376" s="33">
        <v>1.0</v>
      </c>
      <c r="AS376" s="33">
        <f t="shared" si="9"/>
        <v>0</v>
      </c>
      <c r="AT376" s="33">
        <v>2.0</v>
      </c>
      <c r="AU376" s="33">
        <f t="shared" si="10"/>
        <v>0</v>
      </c>
      <c r="AV376" s="33">
        <v>2.0</v>
      </c>
      <c r="AW376" s="34">
        <f t="shared" si="11"/>
        <v>0</v>
      </c>
      <c r="AX376" s="34">
        <f t="shared" si="12"/>
        <v>0</v>
      </c>
      <c r="AY376" s="33"/>
    </row>
    <row r="377" ht="15.75" customHeight="1">
      <c r="A377" s="38"/>
      <c r="B377" s="18"/>
      <c r="C377" s="29"/>
      <c r="D377" s="3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>
        <f t="shared" si="1"/>
        <v>0</v>
      </c>
      <c r="AK377" s="36">
        <f t="shared" si="2"/>
        <v>0</v>
      </c>
      <c r="AL377" s="36">
        <f t="shared" si="3"/>
        <v>0</v>
      </c>
      <c r="AM377" s="36">
        <f t="shared" si="4"/>
        <v>0</v>
      </c>
      <c r="AN377" s="36">
        <f t="shared" si="5"/>
        <v>0</v>
      </c>
      <c r="AO377" s="36">
        <f t="shared" si="6"/>
        <v>0</v>
      </c>
      <c r="AP377" s="36">
        <f t="shared" si="7"/>
        <v>0</v>
      </c>
      <c r="AQ377" s="36">
        <f t="shared" si="8"/>
        <v>0</v>
      </c>
      <c r="AR377" s="36">
        <v>1.0</v>
      </c>
      <c r="AS377" s="36">
        <f t="shared" si="9"/>
        <v>0</v>
      </c>
      <c r="AT377" s="36">
        <v>2.0</v>
      </c>
      <c r="AU377" s="36">
        <f t="shared" si="10"/>
        <v>0</v>
      </c>
      <c r="AV377" s="36">
        <v>2.0</v>
      </c>
      <c r="AW377" s="37">
        <f t="shared" si="11"/>
        <v>0</v>
      </c>
      <c r="AX377" s="37">
        <f t="shared" si="12"/>
        <v>0</v>
      </c>
      <c r="AY377" s="36"/>
    </row>
    <row r="378" ht="15.75" customHeight="1">
      <c r="A378" s="38"/>
      <c r="B378" s="24"/>
      <c r="C378" s="31"/>
      <c r="D378" s="32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>
        <f t="shared" si="1"/>
        <v>0</v>
      </c>
      <c r="AK378" s="33">
        <f t="shared" si="2"/>
        <v>0</v>
      </c>
      <c r="AL378" s="33">
        <f t="shared" si="3"/>
        <v>0</v>
      </c>
      <c r="AM378" s="33">
        <f t="shared" si="4"/>
        <v>0</v>
      </c>
      <c r="AN378" s="33">
        <f t="shared" si="5"/>
        <v>0</v>
      </c>
      <c r="AO378" s="33">
        <f t="shared" si="6"/>
        <v>0</v>
      </c>
      <c r="AP378" s="33">
        <f t="shared" si="7"/>
        <v>0</v>
      </c>
      <c r="AQ378" s="33">
        <f t="shared" si="8"/>
        <v>0</v>
      </c>
      <c r="AR378" s="33">
        <v>1.0</v>
      </c>
      <c r="AS378" s="33">
        <f t="shared" si="9"/>
        <v>0</v>
      </c>
      <c r="AT378" s="33">
        <v>2.0</v>
      </c>
      <c r="AU378" s="33">
        <f t="shared" si="10"/>
        <v>0</v>
      </c>
      <c r="AV378" s="33">
        <v>2.0</v>
      </c>
      <c r="AW378" s="34">
        <f t="shared" si="11"/>
        <v>0</v>
      </c>
      <c r="AX378" s="34">
        <f t="shared" si="12"/>
        <v>0</v>
      </c>
      <c r="AY378" s="33"/>
    </row>
    <row r="379" ht="15.75" customHeight="1">
      <c r="A379" s="38"/>
      <c r="B379" s="18"/>
      <c r="C379" s="29"/>
      <c r="D379" s="3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>
        <f t="shared" si="1"/>
        <v>0</v>
      </c>
      <c r="AK379" s="36">
        <f t="shared" si="2"/>
        <v>0</v>
      </c>
      <c r="AL379" s="36">
        <f t="shared" si="3"/>
        <v>0</v>
      </c>
      <c r="AM379" s="36">
        <f t="shared" si="4"/>
        <v>0</v>
      </c>
      <c r="AN379" s="36">
        <f t="shared" si="5"/>
        <v>0</v>
      </c>
      <c r="AO379" s="36">
        <f t="shared" si="6"/>
        <v>0</v>
      </c>
      <c r="AP379" s="36">
        <f t="shared" si="7"/>
        <v>0</v>
      </c>
      <c r="AQ379" s="36">
        <f t="shared" si="8"/>
        <v>0</v>
      </c>
      <c r="AR379" s="36">
        <v>1.0</v>
      </c>
      <c r="AS379" s="36">
        <f t="shared" si="9"/>
        <v>0</v>
      </c>
      <c r="AT379" s="36">
        <v>2.0</v>
      </c>
      <c r="AU379" s="36">
        <f t="shared" si="10"/>
        <v>0</v>
      </c>
      <c r="AV379" s="36">
        <v>2.0</v>
      </c>
      <c r="AW379" s="37">
        <f t="shared" si="11"/>
        <v>0</v>
      </c>
      <c r="AX379" s="37">
        <f t="shared" si="12"/>
        <v>0</v>
      </c>
      <c r="AY379" s="36"/>
    </row>
    <row r="380" ht="15.75" customHeight="1">
      <c r="A380" s="38"/>
      <c r="B380" s="24"/>
      <c r="C380" s="31"/>
      <c r="D380" s="32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>
        <f t="shared" si="1"/>
        <v>0</v>
      </c>
      <c r="AK380" s="33">
        <f t="shared" si="2"/>
        <v>0</v>
      </c>
      <c r="AL380" s="33">
        <f t="shared" si="3"/>
        <v>0</v>
      </c>
      <c r="AM380" s="33">
        <f t="shared" si="4"/>
        <v>0</v>
      </c>
      <c r="AN380" s="33">
        <f t="shared" si="5"/>
        <v>0</v>
      </c>
      <c r="AO380" s="33">
        <f t="shared" si="6"/>
        <v>0</v>
      </c>
      <c r="AP380" s="33">
        <f t="shared" si="7"/>
        <v>0</v>
      </c>
      <c r="AQ380" s="33">
        <f t="shared" si="8"/>
        <v>0</v>
      </c>
      <c r="AR380" s="33">
        <v>1.0</v>
      </c>
      <c r="AS380" s="33">
        <f t="shared" si="9"/>
        <v>0</v>
      </c>
      <c r="AT380" s="33">
        <v>2.0</v>
      </c>
      <c r="AU380" s="33">
        <f t="shared" si="10"/>
        <v>0</v>
      </c>
      <c r="AV380" s="33">
        <v>2.0</v>
      </c>
      <c r="AW380" s="34">
        <f t="shared" si="11"/>
        <v>0</v>
      </c>
      <c r="AX380" s="34">
        <f t="shared" si="12"/>
        <v>0</v>
      </c>
      <c r="AY380" s="33"/>
    </row>
    <row r="381" ht="15.75" customHeight="1">
      <c r="A381" s="38"/>
      <c r="B381" s="18"/>
      <c r="C381" s="29"/>
      <c r="D381" s="3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>
        <f t="shared" si="1"/>
        <v>0</v>
      </c>
      <c r="AK381" s="36">
        <f t="shared" si="2"/>
        <v>0</v>
      </c>
      <c r="AL381" s="36">
        <f t="shared" si="3"/>
        <v>0</v>
      </c>
      <c r="AM381" s="36">
        <f t="shared" si="4"/>
        <v>0</v>
      </c>
      <c r="AN381" s="36">
        <f t="shared" si="5"/>
        <v>0</v>
      </c>
      <c r="AO381" s="36">
        <f t="shared" si="6"/>
        <v>0</v>
      </c>
      <c r="AP381" s="36">
        <f t="shared" si="7"/>
        <v>0</v>
      </c>
      <c r="AQ381" s="36">
        <f t="shared" si="8"/>
        <v>0</v>
      </c>
      <c r="AR381" s="36">
        <v>1.0</v>
      </c>
      <c r="AS381" s="36">
        <f t="shared" si="9"/>
        <v>0</v>
      </c>
      <c r="AT381" s="36">
        <v>2.0</v>
      </c>
      <c r="AU381" s="36">
        <f t="shared" si="10"/>
        <v>0</v>
      </c>
      <c r="AV381" s="36">
        <v>2.0</v>
      </c>
      <c r="AW381" s="37">
        <f t="shared" si="11"/>
        <v>0</v>
      </c>
      <c r="AX381" s="37">
        <f t="shared" si="12"/>
        <v>0</v>
      </c>
      <c r="AY381" s="36"/>
    </row>
    <row r="382" ht="15.75" customHeight="1">
      <c r="A382" s="38"/>
      <c r="B382" s="24"/>
      <c r="C382" s="31"/>
      <c r="D382" s="32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>
        <f t="shared" si="1"/>
        <v>0</v>
      </c>
      <c r="AK382" s="33">
        <f t="shared" si="2"/>
        <v>0</v>
      </c>
      <c r="AL382" s="33">
        <f t="shared" si="3"/>
        <v>0</v>
      </c>
      <c r="AM382" s="33">
        <f t="shared" si="4"/>
        <v>0</v>
      </c>
      <c r="AN382" s="33">
        <f t="shared" si="5"/>
        <v>0</v>
      </c>
      <c r="AO382" s="33">
        <f t="shared" si="6"/>
        <v>0</v>
      </c>
      <c r="AP382" s="33">
        <f t="shared" si="7"/>
        <v>0</v>
      </c>
      <c r="AQ382" s="33">
        <f t="shared" si="8"/>
        <v>0</v>
      </c>
      <c r="AR382" s="33">
        <v>1.0</v>
      </c>
      <c r="AS382" s="33">
        <f t="shared" si="9"/>
        <v>0</v>
      </c>
      <c r="AT382" s="33">
        <v>2.0</v>
      </c>
      <c r="AU382" s="33">
        <f t="shared" si="10"/>
        <v>0</v>
      </c>
      <c r="AV382" s="33">
        <v>2.0</v>
      </c>
      <c r="AW382" s="34">
        <f t="shared" si="11"/>
        <v>0</v>
      </c>
      <c r="AX382" s="34">
        <f t="shared" si="12"/>
        <v>0</v>
      </c>
      <c r="AY382" s="33"/>
    </row>
    <row r="383" ht="15.75" customHeight="1">
      <c r="A383" s="38"/>
      <c r="B383" s="18"/>
      <c r="C383" s="29"/>
      <c r="D383" s="3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>
        <f t="shared" si="1"/>
        <v>0</v>
      </c>
      <c r="AK383" s="36">
        <f t="shared" si="2"/>
        <v>0</v>
      </c>
      <c r="AL383" s="36">
        <f t="shared" si="3"/>
        <v>0</v>
      </c>
      <c r="AM383" s="36">
        <f t="shared" si="4"/>
        <v>0</v>
      </c>
      <c r="AN383" s="36">
        <f t="shared" si="5"/>
        <v>0</v>
      </c>
      <c r="AO383" s="36">
        <f t="shared" si="6"/>
        <v>0</v>
      </c>
      <c r="AP383" s="36">
        <f t="shared" si="7"/>
        <v>0</v>
      </c>
      <c r="AQ383" s="36">
        <f t="shared" si="8"/>
        <v>0</v>
      </c>
      <c r="AR383" s="36">
        <v>1.0</v>
      </c>
      <c r="AS383" s="36">
        <f t="shared" si="9"/>
        <v>0</v>
      </c>
      <c r="AT383" s="36">
        <v>2.0</v>
      </c>
      <c r="AU383" s="36">
        <f t="shared" si="10"/>
        <v>0</v>
      </c>
      <c r="AV383" s="36">
        <v>2.0</v>
      </c>
      <c r="AW383" s="37">
        <f t="shared" si="11"/>
        <v>0</v>
      </c>
      <c r="AX383" s="37">
        <f t="shared" si="12"/>
        <v>0</v>
      </c>
      <c r="AY383" s="36"/>
    </row>
    <row r="384" ht="15.75" customHeight="1">
      <c r="A384" s="38"/>
      <c r="B384" s="24"/>
      <c r="C384" s="31"/>
      <c r="D384" s="32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>
        <f t="shared" si="1"/>
        <v>0</v>
      </c>
      <c r="AK384" s="33">
        <f t="shared" si="2"/>
        <v>0</v>
      </c>
      <c r="AL384" s="33">
        <f t="shared" si="3"/>
        <v>0</v>
      </c>
      <c r="AM384" s="33">
        <f t="shared" si="4"/>
        <v>0</v>
      </c>
      <c r="AN384" s="33">
        <f t="shared" si="5"/>
        <v>0</v>
      </c>
      <c r="AO384" s="33">
        <f t="shared" si="6"/>
        <v>0</v>
      </c>
      <c r="AP384" s="33">
        <f t="shared" si="7"/>
        <v>0</v>
      </c>
      <c r="AQ384" s="33">
        <f t="shared" si="8"/>
        <v>0</v>
      </c>
      <c r="AR384" s="33">
        <v>1.0</v>
      </c>
      <c r="AS384" s="33">
        <f t="shared" si="9"/>
        <v>0</v>
      </c>
      <c r="AT384" s="33">
        <v>2.0</v>
      </c>
      <c r="AU384" s="33">
        <f t="shared" si="10"/>
        <v>0</v>
      </c>
      <c r="AV384" s="33">
        <v>2.0</v>
      </c>
      <c r="AW384" s="34">
        <f t="shared" si="11"/>
        <v>0</v>
      </c>
      <c r="AX384" s="34">
        <f t="shared" si="12"/>
        <v>0</v>
      </c>
      <c r="AY384" s="33"/>
    </row>
    <row r="385" ht="15.75" customHeight="1">
      <c r="A385" s="38"/>
      <c r="B385" s="18"/>
      <c r="C385" s="29"/>
      <c r="D385" s="3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>
        <f t="shared" si="1"/>
        <v>0</v>
      </c>
      <c r="AK385" s="36">
        <f t="shared" si="2"/>
        <v>0</v>
      </c>
      <c r="AL385" s="36">
        <f t="shared" si="3"/>
        <v>0</v>
      </c>
      <c r="AM385" s="36">
        <f t="shared" si="4"/>
        <v>0</v>
      </c>
      <c r="AN385" s="36">
        <f t="shared" si="5"/>
        <v>0</v>
      </c>
      <c r="AO385" s="36">
        <f t="shared" si="6"/>
        <v>0</v>
      </c>
      <c r="AP385" s="36">
        <f t="shared" si="7"/>
        <v>0</v>
      </c>
      <c r="AQ385" s="36">
        <f t="shared" si="8"/>
        <v>0</v>
      </c>
      <c r="AR385" s="36">
        <v>1.0</v>
      </c>
      <c r="AS385" s="36">
        <f t="shared" si="9"/>
        <v>0</v>
      </c>
      <c r="AT385" s="36">
        <v>2.0</v>
      </c>
      <c r="AU385" s="36">
        <f t="shared" si="10"/>
        <v>0</v>
      </c>
      <c r="AV385" s="36">
        <v>2.0</v>
      </c>
      <c r="AW385" s="37">
        <f t="shared" si="11"/>
        <v>0</v>
      </c>
      <c r="AX385" s="37">
        <f t="shared" si="12"/>
        <v>0</v>
      </c>
      <c r="AY385" s="36"/>
    </row>
    <row r="386" ht="15.75" customHeight="1">
      <c r="A386" s="38"/>
      <c r="B386" s="24"/>
      <c r="C386" s="31"/>
      <c r="D386" s="32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>
        <f t="shared" si="1"/>
        <v>0</v>
      </c>
      <c r="AK386" s="33">
        <f t="shared" si="2"/>
        <v>0</v>
      </c>
      <c r="AL386" s="33">
        <f t="shared" si="3"/>
        <v>0</v>
      </c>
      <c r="AM386" s="33">
        <f t="shared" si="4"/>
        <v>0</v>
      </c>
      <c r="AN386" s="33">
        <f t="shared" si="5"/>
        <v>0</v>
      </c>
      <c r="AO386" s="33">
        <f t="shared" si="6"/>
        <v>0</v>
      </c>
      <c r="AP386" s="33">
        <f t="shared" si="7"/>
        <v>0</v>
      </c>
      <c r="AQ386" s="33">
        <f t="shared" si="8"/>
        <v>0</v>
      </c>
      <c r="AR386" s="33">
        <v>1.0</v>
      </c>
      <c r="AS386" s="33">
        <f t="shared" si="9"/>
        <v>0</v>
      </c>
      <c r="AT386" s="33">
        <v>2.0</v>
      </c>
      <c r="AU386" s="33">
        <f t="shared" si="10"/>
        <v>0</v>
      </c>
      <c r="AV386" s="33">
        <v>2.0</v>
      </c>
      <c r="AW386" s="34">
        <f t="shared" si="11"/>
        <v>0</v>
      </c>
      <c r="AX386" s="34">
        <f t="shared" si="12"/>
        <v>0</v>
      </c>
      <c r="AY386" s="33"/>
    </row>
    <row r="387" ht="15.75" customHeight="1">
      <c r="A387" s="38"/>
      <c r="B387" s="18"/>
      <c r="C387" s="29"/>
      <c r="D387" s="3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>
        <f t="shared" si="1"/>
        <v>0</v>
      </c>
      <c r="AK387" s="36">
        <f t="shared" si="2"/>
        <v>0</v>
      </c>
      <c r="AL387" s="36">
        <f t="shared" si="3"/>
        <v>0</v>
      </c>
      <c r="AM387" s="36">
        <f t="shared" si="4"/>
        <v>0</v>
      </c>
      <c r="AN387" s="36">
        <f t="shared" si="5"/>
        <v>0</v>
      </c>
      <c r="AO387" s="36">
        <f t="shared" si="6"/>
        <v>0</v>
      </c>
      <c r="AP387" s="36">
        <f t="shared" si="7"/>
        <v>0</v>
      </c>
      <c r="AQ387" s="36">
        <f t="shared" si="8"/>
        <v>0</v>
      </c>
      <c r="AR387" s="36">
        <v>1.0</v>
      </c>
      <c r="AS387" s="36">
        <f t="shared" si="9"/>
        <v>0</v>
      </c>
      <c r="AT387" s="36">
        <v>2.0</v>
      </c>
      <c r="AU387" s="36">
        <f t="shared" si="10"/>
        <v>0</v>
      </c>
      <c r="AV387" s="36">
        <v>2.0</v>
      </c>
      <c r="AW387" s="37">
        <f t="shared" si="11"/>
        <v>0</v>
      </c>
      <c r="AX387" s="37">
        <f t="shared" si="12"/>
        <v>0</v>
      </c>
      <c r="AY387" s="36"/>
    </row>
    <row r="388" ht="15.75" customHeight="1">
      <c r="A388" s="38"/>
      <c r="B388" s="24"/>
      <c r="C388" s="31"/>
      <c r="D388" s="32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>
        <f t="shared" si="1"/>
        <v>0</v>
      </c>
      <c r="AK388" s="33">
        <f t="shared" si="2"/>
        <v>0</v>
      </c>
      <c r="AL388" s="33">
        <f t="shared" si="3"/>
        <v>0</v>
      </c>
      <c r="AM388" s="33">
        <f t="shared" si="4"/>
        <v>0</v>
      </c>
      <c r="AN388" s="33">
        <f t="shared" si="5"/>
        <v>0</v>
      </c>
      <c r="AO388" s="33">
        <f t="shared" si="6"/>
        <v>0</v>
      </c>
      <c r="AP388" s="33">
        <f t="shared" si="7"/>
        <v>0</v>
      </c>
      <c r="AQ388" s="33">
        <f t="shared" si="8"/>
        <v>0</v>
      </c>
      <c r="AR388" s="33">
        <v>1.0</v>
      </c>
      <c r="AS388" s="33">
        <f t="shared" si="9"/>
        <v>0</v>
      </c>
      <c r="AT388" s="33">
        <v>2.0</v>
      </c>
      <c r="AU388" s="33">
        <f t="shared" si="10"/>
        <v>0</v>
      </c>
      <c r="AV388" s="33">
        <v>2.0</v>
      </c>
      <c r="AW388" s="34">
        <f t="shared" si="11"/>
        <v>0</v>
      </c>
      <c r="AX388" s="34">
        <f t="shared" si="12"/>
        <v>0</v>
      </c>
      <c r="AY388" s="33"/>
    </row>
    <row r="389" ht="15.75" customHeight="1">
      <c r="A389" s="38"/>
      <c r="B389" s="18"/>
      <c r="C389" s="29"/>
      <c r="D389" s="3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>
        <f t="shared" si="1"/>
        <v>0</v>
      </c>
      <c r="AK389" s="36">
        <f t="shared" si="2"/>
        <v>0</v>
      </c>
      <c r="AL389" s="36">
        <f t="shared" si="3"/>
        <v>0</v>
      </c>
      <c r="AM389" s="36">
        <f t="shared" si="4"/>
        <v>0</v>
      </c>
      <c r="AN389" s="36">
        <f t="shared" si="5"/>
        <v>0</v>
      </c>
      <c r="AO389" s="36">
        <f t="shared" si="6"/>
        <v>0</v>
      </c>
      <c r="AP389" s="36">
        <f t="shared" si="7"/>
        <v>0</v>
      </c>
      <c r="AQ389" s="36">
        <f t="shared" si="8"/>
        <v>0</v>
      </c>
      <c r="AR389" s="36">
        <v>1.0</v>
      </c>
      <c r="AS389" s="36">
        <f t="shared" si="9"/>
        <v>0</v>
      </c>
      <c r="AT389" s="36">
        <v>2.0</v>
      </c>
      <c r="AU389" s="36">
        <f t="shared" si="10"/>
        <v>0</v>
      </c>
      <c r="AV389" s="36">
        <v>2.0</v>
      </c>
      <c r="AW389" s="37">
        <f t="shared" si="11"/>
        <v>0</v>
      </c>
      <c r="AX389" s="37">
        <f t="shared" si="12"/>
        <v>0</v>
      </c>
      <c r="AY389" s="36"/>
    </row>
    <row r="390" ht="15.75" customHeight="1">
      <c r="A390" s="38"/>
      <c r="B390" s="24"/>
      <c r="C390" s="31"/>
      <c r="D390" s="32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>
        <f t="shared" si="1"/>
        <v>0</v>
      </c>
      <c r="AK390" s="33">
        <f t="shared" si="2"/>
        <v>0</v>
      </c>
      <c r="AL390" s="33">
        <f t="shared" si="3"/>
        <v>0</v>
      </c>
      <c r="AM390" s="33">
        <f t="shared" si="4"/>
        <v>0</v>
      </c>
      <c r="AN390" s="33">
        <f t="shared" si="5"/>
        <v>0</v>
      </c>
      <c r="AO390" s="33">
        <f t="shared" si="6"/>
        <v>0</v>
      </c>
      <c r="AP390" s="33">
        <f t="shared" si="7"/>
        <v>0</v>
      </c>
      <c r="AQ390" s="33">
        <f t="shared" si="8"/>
        <v>0</v>
      </c>
      <c r="AR390" s="33">
        <v>1.0</v>
      </c>
      <c r="AS390" s="33">
        <f t="shared" si="9"/>
        <v>0</v>
      </c>
      <c r="AT390" s="33">
        <v>2.0</v>
      </c>
      <c r="AU390" s="33">
        <f t="shared" si="10"/>
        <v>0</v>
      </c>
      <c r="AV390" s="33">
        <v>2.0</v>
      </c>
      <c r="AW390" s="34">
        <f t="shared" si="11"/>
        <v>0</v>
      </c>
      <c r="AX390" s="34">
        <f t="shared" si="12"/>
        <v>0</v>
      </c>
      <c r="AY390" s="33"/>
    </row>
    <row r="391" ht="15.75" customHeight="1">
      <c r="A391" s="38"/>
      <c r="B391" s="18"/>
      <c r="C391" s="29"/>
      <c r="D391" s="3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>
        <f t="shared" si="1"/>
        <v>0</v>
      </c>
      <c r="AK391" s="36">
        <f t="shared" si="2"/>
        <v>0</v>
      </c>
      <c r="AL391" s="36">
        <f t="shared" si="3"/>
        <v>0</v>
      </c>
      <c r="AM391" s="36">
        <f t="shared" si="4"/>
        <v>0</v>
      </c>
      <c r="AN391" s="36">
        <f t="shared" si="5"/>
        <v>0</v>
      </c>
      <c r="AO391" s="36">
        <f t="shared" si="6"/>
        <v>0</v>
      </c>
      <c r="AP391" s="36">
        <f t="shared" si="7"/>
        <v>0</v>
      </c>
      <c r="AQ391" s="36">
        <f t="shared" si="8"/>
        <v>0</v>
      </c>
      <c r="AR391" s="36">
        <v>1.0</v>
      </c>
      <c r="AS391" s="36">
        <f t="shared" si="9"/>
        <v>0</v>
      </c>
      <c r="AT391" s="36">
        <v>2.0</v>
      </c>
      <c r="AU391" s="36">
        <f t="shared" si="10"/>
        <v>0</v>
      </c>
      <c r="AV391" s="36">
        <v>2.0</v>
      </c>
      <c r="AW391" s="37">
        <f t="shared" si="11"/>
        <v>0</v>
      </c>
      <c r="AX391" s="37">
        <f t="shared" si="12"/>
        <v>0</v>
      </c>
      <c r="AY391" s="36"/>
    </row>
    <row r="392" ht="15.75" customHeight="1">
      <c r="A392" s="38"/>
      <c r="B392" s="24"/>
      <c r="C392" s="31"/>
      <c r="D392" s="32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>
        <f t="shared" si="1"/>
        <v>0</v>
      </c>
      <c r="AK392" s="33">
        <f t="shared" si="2"/>
        <v>0</v>
      </c>
      <c r="AL392" s="33">
        <f t="shared" si="3"/>
        <v>0</v>
      </c>
      <c r="AM392" s="33">
        <f t="shared" si="4"/>
        <v>0</v>
      </c>
      <c r="AN392" s="33">
        <f t="shared" si="5"/>
        <v>0</v>
      </c>
      <c r="AO392" s="33">
        <f t="shared" si="6"/>
        <v>0</v>
      </c>
      <c r="AP392" s="33">
        <f t="shared" si="7"/>
        <v>0</v>
      </c>
      <c r="AQ392" s="33">
        <f t="shared" si="8"/>
        <v>0</v>
      </c>
      <c r="AR392" s="33">
        <v>1.0</v>
      </c>
      <c r="AS392" s="33">
        <f t="shared" si="9"/>
        <v>0</v>
      </c>
      <c r="AT392" s="33">
        <v>2.0</v>
      </c>
      <c r="AU392" s="33">
        <f t="shared" si="10"/>
        <v>0</v>
      </c>
      <c r="AV392" s="33">
        <v>2.0</v>
      </c>
      <c r="AW392" s="34">
        <f t="shared" si="11"/>
        <v>0</v>
      </c>
      <c r="AX392" s="34">
        <f t="shared" si="12"/>
        <v>0</v>
      </c>
      <c r="AY392" s="33"/>
    </row>
    <row r="393" ht="15.75" customHeight="1">
      <c r="A393" s="38"/>
      <c r="B393" s="18"/>
      <c r="C393" s="29"/>
      <c r="D393" s="3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>
        <f t="shared" si="1"/>
        <v>0</v>
      </c>
      <c r="AK393" s="36">
        <f t="shared" si="2"/>
        <v>0</v>
      </c>
      <c r="AL393" s="36">
        <f t="shared" si="3"/>
        <v>0</v>
      </c>
      <c r="AM393" s="36">
        <f t="shared" si="4"/>
        <v>0</v>
      </c>
      <c r="AN393" s="36">
        <f t="shared" si="5"/>
        <v>0</v>
      </c>
      <c r="AO393" s="36">
        <f t="shared" si="6"/>
        <v>0</v>
      </c>
      <c r="AP393" s="36">
        <f t="shared" si="7"/>
        <v>0</v>
      </c>
      <c r="AQ393" s="36">
        <f t="shared" si="8"/>
        <v>0</v>
      </c>
      <c r="AR393" s="36">
        <v>1.0</v>
      </c>
      <c r="AS393" s="36">
        <f t="shared" si="9"/>
        <v>0</v>
      </c>
      <c r="AT393" s="36">
        <v>2.0</v>
      </c>
      <c r="AU393" s="36">
        <f t="shared" si="10"/>
        <v>0</v>
      </c>
      <c r="AV393" s="36">
        <v>2.0</v>
      </c>
      <c r="AW393" s="37">
        <f t="shared" si="11"/>
        <v>0</v>
      </c>
      <c r="AX393" s="37">
        <f t="shared" si="12"/>
        <v>0</v>
      </c>
      <c r="AY393" s="36"/>
    </row>
    <row r="394" ht="15.75" customHeight="1">
      <c r="A394" s="38"/>
      <c r="B394" s="24"/>
      <c r="C394" s="31"/>
      <c r="D394" s="32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>
        <f t="shared" si="1"/>
        <v>0</v>
      </c>
      <c r="AK394" s="33">
        <f t="shared" si="2"/>
        <v>0</v>
      </c>
      <c r="AL394" s="33">
        <f t="shared" si="3"/>
        <v>0</v>
      </c>
      <c r="AM394" s="33">
        <f t="shared" si="4"/>
        <v>0</v>
      </c>
      <c r="AN394" s="33">
        <f t="shared" si="5"/>
        <v>0</v>
      </c>
      <c r="AO394" s="33">
        <f t="shared" si="6"/>
        <v>0</v>
      </c>
      <c r="AP394" s="33">
        <f t="shared" si="7"/>
        <v>0</v>
      </c>
      <c r="AQ394" s="33">
        <f t="shared" si="8"/>
        <v>0</v>
      </c>
      <c r="AR394" s="33">
        <v>1.0</v>
      </c>
      <c r="AS394" s="33">
        <f t="shared" si="9"/>
        <v>0</v>
      </c>
      <c r="AT394" s="33">
        <v>2.0</v>
      </c>
      <c r="AU394" s="33">
        <f t="shared" si="10"/>
        <v>0</v>
      </c>
      <c r="AV394" s="33">
        <v>2.0</v>
      </c>
      <c r="AW394" s="34">
        <f t="shared" si="11"/>
        <v>0</v>
      </c>
      <c r="AX394" s="34">
        <f t="shared" si="12"/>
        <v>0</v>
      </c>
      <c r="AY394" s="33"/>
    </row>
    <row r="395" ht="15.75" customHeight="1">
      <c r="A395" s="38"/>
      <c r="B395" s="18"/>
      <c r="C395" s="29"/>
      <c r="D395" s="3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>
        <f t="shared" si="1"/>
        <v>0</v>
      </c>
      <c r="AK395" s="36">
        <f t="shared" si="2"/>
        <v>0</v>
      </c>
      <c r="AL395" s="36">
        <f t="shared" si="3"/>
        <v>0</v>
      </c>
      <c r="AM395" s="36">
        <f t="shared" si="4"/>
        <v>0</v>
      </c>
      <c r="AN395" s="36">
        <f t="shared" si="5"/>
        <v>0</v>
      </c>
      <c r="AO395" s="36">
        <f t="shared" si="6"/>
        <v>0</v>
      </c>
      <c r="AP395" s="36">
        <f t="shared" si="7"/>
        <v>0</v>
      </c>
      <c r="AQ395" s="36">
        <f t="shared" si="8"/>
        <v>0</v>
      </c>
      <c r="AR395" s="36">
        <v>1.0</v>
      </c>
      <c r="AS395" s="36">
        <f t="shared" si="9"/>
        <v>0</v>
      </c>
      <c r="AT395" s="36">
        <v>2.0</v>
      </c>
      <c r="AU395" s="36">
        <f t="shared" si="10"/>
        <v>0</v>
      </c>
      <c r="AV395" s="36">
        <v>2.0</v>
      </c>
      <c r="AW395" s="37">
        <f t="shared" si="11"/>
        <v>0</v>
      </c>
      <c r="AX395" s="37">
        <f t="shared" si="12"/>
        <v>0</v>
      </c>
      <c r="AY395" s="36"/>
    </row>
    <row r="396" ht="15.75" customHeight="1">
      <c r="A396" s="38"/>
      <c r="B396" s="24"/>
      <c r="C396" s="31"/>
      <c r="D396" s="32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>
        <f t="shared" si="1"/>
        <v>0</v>
      </c>
      <c r="AK396" s="33">
        <f t="shared" si="2"/>
        <v>0</v>
      </c>
      <c r="AL396" s="33">
        <f t="shared" si="3"/>
        <v>0</v>
      </c>
      <c r="AM396" s="33">
        <f t="shared" si="4"/>
        <v>0</v>
      </c>
      <c r="AN396" s="33">
        <f t="shared" si="5"/>
        <v>0</v>
      </c>
      <c r="AO396" s="33">
        <f t="shared" si="6"/>
        <v>0</v>
      </c>
      <c r="AP396" s="33">
        <f t="shared" si="7"/>
        <v>0</v>
      </c>
      <c r="AQ396" s="33">
        <f t="shared" si="8"/>
        <v>0</v>
      </c>
      <c r="AR396" s="33">
        <v>1.0</v>
      </c>
      <c r="AS396" s="33">
        <f t="shared" si="9"/>
        <v>0</v>
      </c>
      <c r="AT396" s="33">
        <v>2.0</v>
      </c>
      <c r="AU396" s="33">
        <f t="shared" si="10"/>
        <v>0</v>
      </c>
      <c r="AV396" s="33">
        <v>2.0</v>
      </c>
      <c r="AW396" s="34">
        <f t="shared" si="11"/>
        <v>0</v>
      </c>
      <c r="AX396" s="34">
        <f t="shared" si="12"/>
        <v>0</v>
      </c>
      <c r="AY396" s="33"/>
    </row>
    <row r="397" ht="15.75" customHeight="1">
      <c r="A397" s="38"/>
      <c r="B397" s="18"/>
      <c r="C397" s="29"/>
      <c r="D397" s="3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>
        <f t="shared" si="1"/>
        <v>0</v>
      </c>
      <c r="AK397" s="36">
        <f t="shared" si="2"/>
        <v>0</v>
      </c>
      <c r="AL397" s="36">
        <f t="shared" si="3"/>
        <v>0</v>
      </c>
      <c r="AM397" s="36">
        <f t="shared" si="4"/>
        <v>0</v>
      </c>
      <c r="AN397" s="36">
        <f t="shared" si="5"/>
        <v>0</v>
      </c>
      <c r="AO397" s="36">
        <f t="shared" si="6"/>
        <v>0</v>
      </c>
      <c r="AP397" s="36">
        <f t="shared" si="7"/>
        <v>0</v>
      </c>
      <c r="AQ397" s="36">
        <f t="shared" si="8"/>
        <v>0</v>
      </c>
      <c r="AR397" s="36">
        <v>1.0</v>
      </c>
      <c r="AS397" s="36">
        <f t="shared" si="9"/>
        <v>0</v>
      </c>
      <c r="AT397" s="36">
        <v>2.0</v>
      </c>
      <c r="AU397" s="36">
        <f t="shared" si="10"/>
        <v>0</v>
      </c>
      <c r="AV397" s="36">
        <v>2.0</v>
      </c>
      <c r="AW397" s="37">
        <f t="shared" si="11"/>
        <v>0</v>
      </c>
      <c r="AX397" s="37">
        <f t="shared" si="12"/>
        <v>0</v>
      </c>
      <c r="AY397" s="36"/>
    </row>
    <row r="398" ht="15.75" customHeight="1">
      <c r="A398" s="38"/>
      <c r="B398" s="24"/>
      <c r="C398" s="31"/>
      <c r="D398" s="32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>
        <f t="shared" si="1"/>
        <v>0</v>
      </c>
      <c r="AK398" s="33">
        <f t="shared" si="2"/>
        <v>0</v>
      </c>
      <c r="AL398" s="33">
        <f t="shared" si="3"/>
        <v>0</v>
      </c>
      <c r="AM398" s="33">
        <f t="shared" si="4"/>
        <v>0</v>
      </c>
      <c r="AN398" s="33">
        <f t="shared" si="5"/>
        <v>0</v>
      </c>
      <c r="AO398" s="33">
        <f t="shared" si="6"/>
        <v>0</v>
      </c>
      <c r="AP398" s="33">
        <f t="shared" si="7"/>
        <v>0</v>
      </c>
      <c r="AQ398" s="33">
        <f t="shared" si="8"/>
        <v>0</v>
      </c>
      <c r="AR398" s="33">
        <v>1.0</v>
      </c>
      <c r="AS398" s="33">
        <f t="shared" si="9"/>
        <v>0</v>
      </c>
      <c r="AT398" s="33">
        <v>2.0</v>
      </c>
      <c r="AU398" s="33">
        <f t="shared" si="10"/>
        <v>0</v>
      </c>
      <c r="AV398" s="33">
        <v>2.0</v>
      </c>
      <c r="AW398" s="34">
        <f t="shared" si="11"/>
        <v>0</v>
      </c>
      <c r="AX398" s="34">
        <f t="shared" si="12"/>
        <v>0</v>
      </c>
      <c r="AY398" s="33"/>
    </row>
    <row r="399" ht="15.75" customHeight="1">
      <c r="A399" s="38"/>
      <c r="B399" s="18"/>
      <c r="C399" s="29"/>
      <c r="D399" s="3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>
        <f t="shared" si="1"/>
        <v>0</v>
      </c>
      <c r="AK399" s="36">
        <f t="shared" si="2"/>
        <v>0</v>
      </c>
      <c r="AL399" s="36">
        <f t="shared" si="3"/>
        <v>0</v>
      </c>
      <c r="AM399" s="36">
        <f t="shared" si="4"/>
        <v>0</v>
      </c>
      <c r="AN399" s="36">
        <f t="shared" si="5"/>
        <v>0</v>
      </c>
      <c r="AO399" s="36">
        <f t="shared" si="6"/>
        <v>0</v>
      </c>
      <c r="AP399" s="36">
        <f t="shared" si="7"/>
        <v>0</v>
      </c>
      <c r="AQ399" s="36">
        <f t="shared" si="8"/>
        <v>0</v>
      </c>
      <c r="AR399" s="36">
        <v>1.0</v>
      </c>
      <c r="AS399" s="36">
        <f t="shared" si="9"/>
        <v>0</v>
      </c>
      <c r="AT399" s="36">
        <v>2.0</v>
      </c>
      <c r="AU399" s="36">
        <f t="shared" si="10"/>
        <v>0</v>
      </c>
      <c r="AV399" s="36">
        <v>2.0</v>
      </c>
      <c r="AW399" s="37">
        <f t="shared" si="11"/>
        <v>0</v>
      </c>
      <c r="AX399" s="37">
        <f t="shared" si="12"/>
        <v>0</v>
      </c>
      <c r="AY399" s="36"/>
    </row>
    <row r="400" ht="15.75" customHeight="1">
      <c r="A400" s="38"/>
      <c r="B400" s="24"/>
      <c r="C400" s="31"/>
      <c r="D400" s="32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>
        <f t="shared" si="1"/>
        <v>0</v>
      </c>
      <c r="AK400" s="33">
        <f t="shared" si="2"/>
        <v>0</v>
      </c>
      <c r="AL400" s="33">
        <f t="shared" si="3"/>
        <v>0</v>
      </c>
      <c r="AM400" s="33">
        <f t="shared" si="4"/>
        <v>0</v>
      </c>
      <c r="AN400" s="33">
        <f t="shared" si="5"/>
        <v>0</v>
      </c>
      <c r="AO400" s="33">
        <f t="shared" si="6"/>
        <v>0</v>
      </c>
      <c r="AP400" s="33">
        <f t="shared" si="7"/>
        <v>0</v>
      </c>
      <c r="AQ400" s="33">
        <f t="shared" si="8"/>
        <v>0</v>
      </c>
      <c r="AR400" s="33">
        <v>1.0</v>
      </c>
      <c r="AS400" s="33">
        <f t="shared" si="9"/>
        <v>0</v>
      </c>
      <c r="AT400" s="33">
        <v>2.0</v>
      </c>
      <c r="AU400" s="33">
        <f t="shared" si="10"/>
        <v>0</v>
      </c>
      <c r="AV400" s="33">
        <v>2.0</v>
      </c>
      <c r="AW400" s="34">
        <f t="shared" si="11"/>
        <v>0</v>
      </c>
      <c r="AX400" s="34">
        <f t="shared" si="12"/>
        <v>0</v>
      </c>
      <c r="AY400" s="33"/>
    </row>
    <row r="401" ht="15.75" customHeight="1">
      <c r="A401" s="38"/>
      <c r="B401" s="18"/>
      <c r="C401" s="29"/>
      <c r="D401" s="3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>
        <f t="shared" si="1"/>
        <v>0</v>
      </c>
      <c r="AK401" s="36">
        <f t="shared" si="2"/>
        <v>0</v>
      </c>
      <c r="AL401" s="36">
        <f t="shared" si="3"/>
        <v>0</v>
      </c>
      <c r="AM401" s="36">
        <f t="shared" si="4"/>
        <v>0</v>
      </c>
      <c r="AN401" s="36">
        <f t="shared" si="5"/>
        <v>0</v>
      </c>
      <c r="AO401" s="36">
        <f t="shared" si="6"/>
        <v>0</v>
      </c>
      <c r="AP401" s="36">
        <f t="shared" si="7"/>
        <v>0</v>
      </c>
      <c r="AQ401" s="36">
        <f t="shared" si="8"/>
        <v>0</v>
      </c>
      <c r="AR401" s="36">
        <v>1.0</v>
      </c>
      <c r="AS401" s="36">
        <f t="shared" si="9"/>
        <v>0</v>
      </c>
      <c r="AT401" s="36">
        <v>2.0</v>
      </c>
      <c r="AU401" s="36">
        <f t="shared" si="10"/>
        <v>0</v>
      </c>
      <c r="AV401" s="36">
        <v>2.0</v>
      </c>
      <c r="AW401" s="37">
        <f t="shared" si="11"/>
        <v>0</v>
      </c>
      <c r="AX401" s="37">
        <f t="shared" si="12"/>
        <v>0</v>
      </c>
      <c r="AY401" s="36"/>
    </row>
    <row r="402" ht="15.75" customHeight="1">
      <c r="A402" s="38"/>
      <c r="B402" s="24"/>
      <c r="C402" s="31"/>
      <c r="D402" s="32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>
        <f t="shared" si="1"/>
        <v>0</v>
      </c>
      <c r="AK402" s="33">
        <f t="shared" si="2"/>
        <v>0</v>
      </c>
      <c r="AL402" s="33">
        <f t="shared" si="3"/>
        <v>0</v>
      </c>
      <c r="AM402" s="33">
        <f t="shared" si="4"/>
        <v>0</v>
      </c>
      <c r="AN402" s="33">
        <f t="shared" si="5"/>
        <v>0</v>
      </c>
      <c r="AO402" s="33">
        <f t="shared" si="6"/>
        <v>0</v>
      </c>
      <c r="AP402" s="33">
        <f t="shared" si="7"/>
        <v>0</v>
      </c>
      <c r="AQ402" s="33">
        <f t="shared" si="8"/>
        <v>0</v>
      </c>
      <c r="AR402" s="33">
        <v>1.0</v>
      </c>
      <c r="AS402" s="33">
        <f t="shared" si="9"/>
        <v>0</v>
      </c>
      <c r="AT402" s="33">
        <v>2.0</v>
      </c>
      <c r="AU402" s="33">
        <f t="shared" si="10"/>
        <v>0</v>
      </c>
      <c r="AV402" s="33">
        <v>2.0</v>
      </c>
      <c r="AW402" s="34">
        <f t="shared" si="11"/>
        <v>0</v>
      </c>
      <c r="AX402" s="34">
        <f t="shared" si="12"/>
        <v>0</v>
      </c>
      <c r="AY402" s="33"/>
    </row>
    <row r="403" ht="15.75" customHeight="1">
      <c r="A403" s="38"/>
      <c r="B403" s="18"/>
      <c r="C403" s="29"/>
      <c r="D403" s="3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>
        <f t="shared" si="1"/>
        <v>0</v>
      </c>
      <c r="AK403" s="36">
        <f t="shared" si="2"/>
        <v>0</v>
      </c>
      <c r="AL403" s="36">
        <f t="shared" si="3"/>
        <v>0</v>
      </c>
      <c r="AM403" s="36">
        <f t="shared" si="4"/>
        <v>0</v>
      </c>
      <c r="AN403" s="36">
        <f t="shared" si="5"/>
        <v>0</v>
      </c>
      <c r="AO403" s="36">
        <f t="shared" si="6"/>
        <v>0</v>
      </c>
      <c r="AP403" s="36">
        <f t="shared" si="7"/>
        <v>0</v>
      </c>
      <c r="AQ403" s="36">
        <f t="shared" si="8"/>
        <v>0</v>
      </c>
      <c r="AR403" s="36">
        <v>1.0</v>
      </c>
      <c r="AS403" s="36">
        <f t="shared" si="9"/>
        <v>0</v>
      </c>
      <c r="AT403" s="36">
        <v>2.0</v>
      </c>
      <c r="AU403" s="36">
        <f t="shared" si="10"/>
        <v>0</v>
      </c>
      <c r="AV403" s="36">
        <v>2.0</v>
      </c>
      <c r="AW403" s="37">
        <f t="shared" si="11"/>
        <v>0</v>
      </c>
      <c r="AX403" s="37">
        <f t="shared" si="12"/>
        <v>0</v>
      </c>
      <c r="AY403" s="36"/>
    </row>
    <row r="404" ht="15.75" customHeight="1">
      <c r="A404" s="38"/>
      <c r="B404" s="24"/>
      <c r="C404" s="31"/>
      <c r="D404" s="32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>
        <f t="shared" si="1"/>
        <v>0</v>
      </c>
      <c r="AK404" s="33">
        <f t="shared" si="2"/>
        <v>0</v>
      </c>
      <c r="AL404" s="33">
        <f t="shared" si="3"/>
        <v>0</v>
      </c>
      <c r="AM404" s="33">
        <f t="shared" si="4"/>
        <v>0</v>
      </c>
      <c r="AN404" s="33">
        <f t="shared" si="5"/>
        <v>0</v>
      </c>
      <c r="AO404" s="33">
        <f t="shared" si="6"/>
        <v>0</v>
      </c>
      <c r="AP404" s="33">
        <f t="shared" si="7"/>
        <v>0</v>
      </c>
      <c r="AQ404" s="33">
        <f t="shared" si="8"/>
        <v>0</v>
      </c>
      <c r="AR404" s="33">
        <v>1.0</v>
      </c>
      <c r="AS404" s="33">
        <f t="shared" si="9"/>
        <v>0</v>
      </c>
      <c r="AT404" s="33">
        <v>2.0</v>
      </c>
      <c r="AU404" s="33">
        <f t="shared" si="10"/>
        <v>0</v>
      </c>
      <c r="AV404" s="33">
        <v>2.0</v>
      </c>
      <c r="AW404" s="34">
        <f t="shared" si="11"/>
        <v>0</v>
      </c>
      <c r="AX404" s="34">
        <f t="shared" si="12"/>
        <v>0</v>
      </c>
      <c r="AY404" s="33"/>
    </row>
    <row r="405" ht="15.75" customHeight="1">
      <c r="A405" s="38"/>
      <c r="B405" s="18"/>
      <c r="C405" s="29"/>
      <c r="D405" s="3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>
        <f t="shared" si="1"/>
        <v>0</v>
      </c>
      <c r="AK405" s="36">
        <f t="shared" si="2"/>
        <v>0</v>
      </c>
      <c r="AL405" s="36">
        <f t="shared" si="3"/>
        <v>0</v>
      </c>
      <c r="AM405" s="36">
        <f t="shared" si="4"/>
        <v>0</v>
      </c>
      <c r="AN405" s="36">
        <f t="shared" si="5"/>
        <v>0</v>
      </c>
      <c r="AO405" s="36">
        <f t="shared" si="6"/>
        <v>0</v>
      </c>
      <c r="AP405" s="36">
        <f t="shared" si="7"/>
        <v>0</v>
      </c>
      <c r="AQ405" s="36">
        <f t="shared" si="8"/>
        <v>0</v>
      </c>
      <c r="AR405" s="36">
        <v>1.0</v>
      </c>
      <c r="AS405" s="36">
        <f t="shared" si="9"/>
        <v>0</v>
      </c>
      <c r="AT405" s="36">
        <v>2.0</v>
      </c>
      <c r="AU405" s="36">
        <f t="shared" si="10"/>
        <v>0</v>
      </c>
      <c r="AV405" s="36">
        <v>2.0</v>
      </c>
      <c r="AW405" s="37">
        <f t="shared" si="11"/>
        <v>0</v>
      </c>
      <c r="AX405" s="37">
        <f t="shared" si="12"/>
        <v>0</v>
      </c>
      <c r="AY405" s="36"/>
    </row>
    <row r="406" ht="15.75" customHeight="1">
      <c r="A406" s="38"/>
      <c r="B406" s="24"/>
      <c r="C406" s="31"/>
      <c r="D406" s="32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>
        <f t="shared" si="1"/>
        <v>0</v>
      </c>
      <c r="AK406" s="33">
        <f t="shared" si="2"/>
        <v>0</v>
      </c>
      <c r="AL406" s="33">
        <f t="shared" si="3"/>
        <v>0</v>
      </c>
      <c r="AM406" s="33">
        <f t="shared" si="4"/>
        <v>0</v>
      </c>
      <c r="AN406" s="33">
        <f t="shared" si="5"/>
        <v>0</v>
      </c>
      <c r="AO406" s="33">
        <f t="shared" si="6"/>
        <v>0</v>
      </c>
      <c r="AP406" s="33">
        <f t="shared" si="7"/>
        <v>0</v>
      </c>
      <c r="AQ406" s="33">
        <f t="shared" si="8"/>
        <v>0</v>
      </c>
      <c r="AR406" s="33">
        <v>1.0</v>
      </c>
      <c r="AS406" s="33">
        <f t="shared" si="9"/>
        <v>0</v>
      </c>
      <c r="AT406" s="33">
        <v>2.0</v>
      </c>
      <c r="AU406" s="33">
        <f t="shared" si="10"/>
        <v>0</v>
      </c>
      <c r="AV406" s="33">
        <v>2.0</v>
      </c>
      <c r="AW406" s="34">
        <f t="shared" si="11"/>
        <v>0</v>
      </c>
      <c r="AX406" s="34">
        <f t="shared" si="12"/>
        <v>0</v>
      </c>
      <c r="AY406" s="33"/>
    </row>
    <row r="407" ht="15.75" customHeight="1">
      <c r="A407" s="38"/>
      <c r="B407" s="18"/>
      <c r="C407" s="29"/>
      <c r="D407" s="3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>
        <f t="shared" si="1"/>
        <v>0</v>
      </c>
      <c r="AK407" s="36">
        <f t="shared" si="2"/>
        <v>0</v>
      </c>
      <c r="AL407" s="36">
        <f t="shared" si="3"/>
        <v>0</v>
      </c>
      <c r="AM407" s="36">
        <f t="shared" si="4"/>
        <v>0</v>
      </c>
      <c r="AN407" s="36">
        <f t="shared" si="5"/>
        <v>0</v>
      </c>
      <c r="AO407" s="36">
        <f t="shared" si="6"/>
        <v>0</v>
      </c>
      <c r="AP407" s="36">
        <f t="shared" si="7"/>
        <v>0</v>
      </c>
      <c r="AQ407" s="36">
        <f t="shared" si="8"/>
        <v>0</v>
      </c>
      <c r="AR407" s="36">
        <v>1.0</v>
      </c>
      <c r="AS407" s="36">
        <f t="shared" si="9"/>
        <v>0</v>
      </c>
      <c r="AT407" s="36">
        <v>2.0</v>
      </c>
      <c r="AU407" s="36">
        <f t="shared" si="10"/>
        <v>0</v>
      </c>
      <c r="AV407" s="36">
        <v>2.0</v>
      </c>
      <c r="AW407" s="37">
        <f t="shared" si="11"/>
        <v>0</v>
      </c>
      <c r="AX407" s="37">
        <f t="shared" si="12"/>
        <v>0</v>
      </c>
      <c r="AY407" s="36"/>
    </row>
    <row r="408" ht="15.75" customHeight="1">
      <c r="A408" s="38"/>
      <c r="B408" s="24"/>
      <c r="C408" s="31"/>
      <c r="D408" s="32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>
        <f t="shared" si="1"/>
        <v>0</v>
      </c>
      <c r="AK408" s="33">
        <f t="shared" si="2"/>
        <v>0</v>
      </c>
      <c r="AL408" s="33">
        <f t="shared" si="3"/>
        <v>0</v>
      </c>
      <c r="AM408" s="33">
        <f t="shared" si="4"/>
        <v>0</v>
      </c>
      <c r="AN408" s="33">
        <f t="shared" si="5"/>
        <v>0</v>
      </c>
      <c r="AO408" s="33">
        <f t="shared" si="6"/>
        <v>0</v>
      </c>
      <c r="AP408" s="33">
        <f t="shared" si="7"/>
        <v>0</v>
      </c>
      <c r="AQ408" s="33">
        <f t="shared" si="8"/>
        <v>0</v>
      </c>
      <c r="AR408" s="33">
        <v>1.0</v>
      </c>
      <c r="AS408" s="33">
        <f t="shared" si="9"/>
        <v>0</v>
      </c>
      <c r="AT408" s="33">
        <v>2.0</v>
      </c>
      <c r="AU408" s="33">
        <f t="shared" si="10"/>
        <v>0</v>
      </c>
      <c r="AV408" s="33">
        <v>2.0</v>
      </c>
      <c r="AW408" s="34">
        <f t="shared" si="11"/>
        <v>0</v>
      </c>
      <c r="AX408" s="34">
        <f t="shared" si="12"/>
        <v>0</v>
      </c>
      <c r="AY408" s="33"/>
    </row>
    <row r="409" ht="15.75" customHeight="1">
      <c r="A409" s="38"/>
      <c r="B409" s="18"/>
      <c r="C409" s="29"/>
      <c r="D409" s="3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>
        <f t="shared" si="1"/>
        <v>0</v>
      </c>
      <c r="AK409" s="36">
        <f t="shared" si="2"/>
        <v>0</v>
      </c>
      <c r="AL409" s="36">
        <f t="shared" si="3"/>
        <v>0</v>
      </c>
      <c r="AM409" s="36">
        <f t="shared" si="4"/>
        <v>0</v>
      </c>
      <c r="AN409" s="36">
        <f t="shared" si="5"/>
        <v>0</v>
      </c>
      <c r="AO409" s="36">
        <f t="shared" si="6"/>
        <v>0</v>
      </c>
      <c r="AP409" s="36">
        <f t="shared" si="7"/>
        <v>0</v>
      </c>
      <c r="AQ409" s="36">
        <f t="shared" si="8"/>
        <v>0</v>
      </c>
      <c r="AR409" s="36">
        <v>1.0</v>
      </c>
      <c r="AS409" s="36">
        <f t="shared" si="9"/>
        <v>0</v>
      </c>
      <c r="AT409" s="36">
        <v>2.0</v>
      </c>
      <c r="AU409" s="36">
        <f t="shared" si="10"/>
        <v>0</v>
      </c>
      <c r="AV409" s="36">
        <v>2.0</v>
      </c>
      <c r="AW409" s="37">
        <f t="shared" si="11"/>
        <v>0</v>
      </c>
      <c r="AX409" s="37">
        <f t="shared" si="12"/>
        <v>0</v>
      </c>
      <c r="AY409" s="36"/>
    </row>
    <row r="410" ht="15.75" customHeight="1">
      <c r="A410" s="38"/>
      <c r="B410" s="24"/>
      <c r="C410" s="31"/>
      <c r="D410" s="32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>
        <f t="shared" si="1"/>
        <v>0</v>
      </c>
      <c r="AK410" s="33">
        <f t="shared" si="2"/>
        <v>0</v>
      </c>
      <c r="AL410" s="33">
        <f t="shared" si="3"/>
        <v>0</v>
      </c>
      <c r="AM410" s="33">
        <f t="shared" si="4"/>
        <v>0</v>
      </c>
      <c r="AN410" s="33">
        <f t="shared" si="5"/>
        <v>0</v>
      </c>
      <c r="AO410" s="33">
        <f t="shared" si="6"/>
        <v>0</v>
      </c>
      <c r="AP410" s="33">
        <f t="shared" si="7"/>
        <v>0</v>
      </c>
      <c r="AQ410" s="33">
        <f t="shared" si="8"/>
        <v>0</v>
      </c>
      <c r="AR410" s="33">
        <v>1.0</v>
      </c>
      <c r="AS410" s="33">
        <f t="shared" si="9"/>
        <v>0</v>
      </c>
      <c r="AT410" s="33">
        <v>2.0</v>
      </c>
      <c r="AU410" s="33">
        <f t="shared" si="10"/>
        <v>0</v>
      </c>
      <c r="AV410" s="33">
        <v>2.0</v>
      </c>
      <c r="AW410" s="34">
        <f t="shared" si="11"/>
        <v>0</v>
      </c>
      <c r="AX410" s="34">
        <f t="shared" si="12"/>
        <v>0</v>
      </c>
      <c r="AY410" s="33"/>
    </row>
    <row r="411" ht="15.75" customHeight="1">
      <c r="A411" s="38"/>
      <c r="B411" s="18"/>
      <c r="C411" s="29"/>
      <c r="D411" s="3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>
        <f t="shared" si="1"/>
        <v>0</v>
      </c>
      <c r="AK411" s="36">
        <f t="shared" si="2"/>
        <v>0</v>
      </c>
      <c r="AL411" s="36">
        <f t="shared" si="3"/>
        <v>0</v>
      </c>
      <c r="AM411" s="36">
        <f t="shared" si="4"/>
        <v>0</v>
      </c>
      <c r="AN411" s="36">
        <f t="shared" si="5"/>
        <v>0</v>
      </c>
      <c r="AO411" s="36">
        <f t="shared" si="6"/>
        <v>0</v>
      </c>
      <c r="AP411" s="36">
        <f t="shared" si="7"/>
        <v>0</v>
      </c>
      <c r="AQ411" s="36">
        <f t="shared" si="8"/>
        <v>0</v>
      </c>
      <c r="AR411" s="36">
        <v>1.0</v>
      </c>
      <c r="AS411" s="36">
        <f t="shared" si="9"/>
        <v>0</v>
      </c>
      <c r="AT411" s="36">
        <v>2.0</v>
      </c>
      <c r="AU411" s="36">
        <f t="shared" si="10"/>
        <v>0</v>
      </c>
      <c r="AV411" s="36">
        <v>2.0</v>
      </c>
      <c r="AW411" s="37">
        <f t="shared" si="11"/>
        <v>0</v>
      </c>
      <c r="AX411" s="37">
        <f t="shared" si="12"/>
        <v>0</v>
      </c>
      <c r="AY411" s="36"/>
    </row>
    <row r="412" ht="15.75" customHeight="1">
      <c r="A412" s="38"/>
      <c r="B412" s="24"/>
      <c r="C412" s="31"/>
      <c r="D412" s="32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>
        <f t="shared" si="1"/>
        <v>0</v>
      </c>
      <c r="AK412" s="33">
        <f t="shared" si="2"/>
        <v>0</v>
      </c>
      <c r="AL412" s="33">
        <f t="shared" si="3"/>
        <v>0</v>
      </c>
      <c r="AM412" s="33">
        <f t="shared" si="4"/>
        <v>0</v>
      </c>
      <c r="AN412" s="33">
        <f t="shared" si="5"/>
        <v>0</v>
      </c>
      <c r="AO412" s="33">
        <f t="shared" si="6"/>
        <v>0</v>
      </c>
      <c r="AP412" s="33">
        <f t="shared" si="7"/>
        <v>0</v>
      </c>
      <c r="AQ412" s="33">
        <f t="shared" si="8"/>
        <v>0</v>
      </c>
      <c r="AR412" s="33">
        <v>1.0</v>
      </c>
      <c r="AS412" s="33">
        <f t="shared" si="9"/>
        <v>0</v>
      </c>
      <c r="AT412" s="33">
        <v>2.0</v>
      </c>
      <c r="AU412" s="33">
        <f t="shared" si="10"/>
        <v>0</v>
      </c>
      <c r="AV412" s="33">
        <v>2.0</v>
      </c>
      <c r="AW412" s="34">
        <f t="shared" si="11"/>
        <v>0</v>
      </c>
      <c r="AX412" s="34">
        <f t="shared" si="12"/>
        <v>0</v>
      </c>
      <c r="AY412" s="33"/>
    </row>
    <row r="413" ht="15.75" customHeight="1">
      <c r="A413" s="38"/>
      <c r="B413" s="18"/>
      <c r="C413" s="29"/>
      <c r="D413" s="3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>
        <f t="shared" si="1"/>
        <v>0</v>
      </c>
      <c r="AK413" s="36">
        <f t="shared" si="2"/>
        <v>0</v>
      </c>
      <c r="AL413" s="36">
        <f t="shared" si="3"/>
        <v>0</v>
      </c>
      <c r="AM413" s="36">
        <f t="shared" si="4"/>
        <v>0</v>
      </c>
      <c r="AN413" s="36">
        <f t="shared" si="5"/>
        <v>0</v>
      </c>
      <c r="AO413" s="36">
        <f t="shared" si="6"/>
        <v>0</v>
      </c>
      <c r="AP413" s="36">
        <f t="shared" si="7"/>
        <v>0</v>
      </c>
      <c r="AQ413" s="36">
        <f t="shared" si="8"/>
        <v>0</v>
      </c>
      <c r="AR413" s="36">
        <v>1.0</v>
      </c>
      <c r="AS413" s="36">
        <f t="shared" si="9"/>
        <v>0</v>
      </c>
      <c r="AT413" s="36">
        <v>2.0</v>
      </c>
      <c r="AU413" s="36">
        <f t="shared" si="10"/>
        <v>0</v>
      </c>
      <c r="AV413" s="36">
        <v>2.0</v>
      </c>
      <c r="AW413" s="37">
        <f t="shared" si="11"/>
        <v>0</v>
      </c>
      <c r="AX413" s="37">
        <f t="shared" si="12"/>
        <v>0</v>
      </c>
      <c r="AY413" s="36"/>
    </row>
    <row r="414" ht="15.75" customHeight="1">
      <c r="A414" s="38"/>
      <c r="B414" s="24"/>
      <c r="C414" s="31"/>
      <c r="D414" s="32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>
        <f t="shared" si="1"/>
        <v>0</v>
      </c>
      <c r="AK414" s="33">
        <f t="shared" si="2"/>
        <v>0</v>
      </c>
      <c r="AL414" s="33">
        <f t="shared" si="3"/>
        <v>0</v>
      </c>
      <c r="AM414" s="33">
        <f t="shared" si="4"/>
        <v>0</v>
      </c>
      <c r="AN414" s="33">
        <f t="shared" si="5"/>
        <v>0</v>
      </c>
      <c r="AO414" s="33">
        <f t="shared" si="6"/>
        <v>0</v>
      </c>
      <c r="AP414" s="33">
        <f t="shared" si="7"/>
        <v>0</v>
      </c>
      <c r="AQ414" s="33">
        <f t="shared" si="8"/>
        <v>0</v>
      </c>
      <c r="AR414" s="33">
        <v>1.0</v>
      </c>
      <c r="AS414" s="33">
        <f t="shared" si="9"/>
        <v>0</v>
      </c>
      <c r="AT414" s="33">
        <v>2.0</v>
      </c>
      <c r="AU414" s="33">
        <f t="shared" si="10"/>
        <v>0</v>
      </c>
      <c r="AV414" s="33">
        <v>2.0</v>
      </c>
      <c r="AW414" s="34">
        <f t="shared" si="11"/>
        <v>0</v>
      </c>
      <c r="AX414" s="34">
        <f t="shared" si="12"/>
        <v>0</v>
      </c>
      <c r="AY414" s="33"/>
    </row>
    <row r="415" ht="15.75" customHeight="1">
      <c r="A415" s="38"/>
      <c r="B415" s="18"/>
      <c r="C415" s="29"/>
      <c r="D415" s="3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>
        <f t="shared" si="1"/>
        <v>0</v>
      </c>
      <c r="AK415" s="36">
        <f t="shared" si="2"/>
        <v>0</v>
      </c>
      <c r="AL415" s="36">
        <f t="shared" si="3"/>
        <v>0</v>
      </c>
      <c r="AM415" s="36">
        <f t="shared" si="4"/>
        <v>0</v>
      </c>
      <c r="AN415" s="36">
        <f t="shared" si="5"/>
        <v>0</v>
      </c>
      <c r="AO415" s="36">
        <f t="shared" si="6"/>
        <v>0</v>
      </c>
      <c r="AP415" s="36">
        <f t="shared" si="7"/>
        <v>0</v>
      </c>
      <c r="AQ415" s="36">
        <f t="shared" si="8"/>
        <v>0</v>
      </c>
      <c r="AR415" s="36">
        <v>1.0</v>
      </c>
      <c r="AS415" s="36">
        <f t="shared" si="9"/>
        <v>0</v>
      </c>
      <c r="AT415" s="36">
        <v>2.0</v>
      </c>
      <c r="AU415" s="36">
        <f t="shared" si="10"/>
        <v>0</v>
      </c>
      <c r="AV415" s="36">
        <v>2.0</v>
      </c>
      <c r="AW415" s="37">
        <f t="shared" si="11"/>
        <v>0</v>
      </c>
      <c r="AX415" s="37">
        <f t="shared" si="12"/>
        <v>0</v>
      </c>
      <c r="AY415" s="36"/>
    </row>
    <row r="416" ht="15.75" customHeight="1">
      <c r="A416" s="38"/>
      <c r="B416" s="24"/>
      <c r="C416" s="31"/>
      <c r="D416" s="32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>
        <f t="shared" si="1"/>
        <v>0</v>
      </c>
      <c r="AK416" s="33">
        <f t="shared" si="2"/>
        <v>0</v>
      </c>
      <c r="AL416" s="33">
        <f t="shared" si="3"/>
        <v>0</v>
      </c>
      <c r="AM416" s="33">
        <f t="shared" si="4"/>
        <v>0</v>
      </c>
      <c r="AN416" s="33">
        <f t="shared" si="5"/>
        <v>0</v>
      </c>
      <c r="AO416" s="33">
        <f t="shared" si="6"/>
        <v>0</v>
      </c>
      <c r="AP416" s="33">
        <f t="shared" si="7"/>
        <v>0</v>
      </c>
      <c r="AQ416" s="33">
        <f t="shared" si="8"/>
        <v>0</v>
      </c>
      <c r="AR416" s="33">
        <v>1.0</v>
      </c>
      <c r="AS416" s="33">
        <f t="shared" si="9"/>
        <v>0</v>
      </c>
      <c r="AT416" s="33">
        <v>2.0</v>
      </c>
      <c r="AU416" s="33">
        <f t="shared" si="10"/>
        <v>0</v>
      </c>
      <c r="AV416" s="33">
        <v>2.0</v>
      </c>
      <c r="AW416" s="34">
        <f t="shared" si="11"/>
        <v>0</v>
      </c>
      <c r="AX416" s="34">
        <f t="shared" si="12"/>
        <v>0</v>
      </c>
      <c r="AY416" s="33"/>
    </row>
    <row r="417" ht="15.75" customHeight="1">
      <c r="A417" s="38"/>
      <c r="B417" s="18"/>
      <c r="C417" s="29"/>
      <c r="D417" s="3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>
        <f t="shared" si="1"/>
        <v>0</v>
      </c>
      <c r="AK417" s="36">
        <f t="shared" si="2"/>
        <v>0</v>
      </c>
      <c r="AL417" s="36">
        <f t="shared" si="3"/>
        <v>0</v>
      </c>
      <c r="AM417" s="36">
        <f t="shared" si="4"/>
        <v>0</v>
      </c>
      <c r="AN417" s="36">
        <f t="shared" si="5"/>
        <v>0</v>
      </c>
      <c r="AO417" s="36">
        <f t="shared" si="6"/>
        <v>0</v>
      </c>
      <c r="AP417" s="36">
        <f t="shared" si="7"/>
        <v>0</v>
      </c>
      <c r="AQ417" s="36">
        <f t="shared" si="8"/>
        <v>0</v>
      </c>
      <c r="AR417" s="36">
        <v>1.0</v>
      </c>
      <c r="AS417" s="36">
        <f t="shared" si="9"/>
        <v>0</v>
      </c>
      <c r="AT417" s="36">
        <v>2.0</v>
      </c>
      <c r="AU417" s="36">
        <f t="shared" si="10"/>
        <v>0</v>
      </c>
      <c r="AV417" s="36">
        <v>2.0</v>
      </c>
      <c r="AW417" s="37">
        <f t="shared" si="11"/>
        <v>0</v>
      </c>
      <c r="AX417" s="37">
        <f t="shared" si="12"/>
        <v>0</v>
      </c>
      <c r="AY417" s="36"/>
    </row>
    <row r="418" ht="15.75" customHeight="1">
      <c r="A418" s="38"/>
      <c r="B418" s="24"/>
      <c r="C418" s="31"/>
      <c r="D418" s="32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>
        <f t="shared" si="1"/>
        <v>0</v>
      </c>
      <c r="AK418" s="33">
        <f t="shared" si="2"/>
        <v>0</v>
      </c>
      <c r="AL418" s="33">
        <f t="shared" si="3"/>
        <v>0</v>
      </c>
      <c r="AM418" s="33">
        <f t="shared" si="4"/>
        <v>0</v>
      </c>
      <c r="AN418" s="33">
        <f t="shared" si="5"/>
        <v>0</v>
      </c>
      <c r="AO418" s="33">
        <f t="shared" si="6"/>
        <v>0</v>
      </c>
      <c r="AP418" s="33">
        <f t="shared" si="7"/>
        <v>0</v>
      </c>
      <c r="AQ418" s="33">
        <f t="shared" si="8"/>
        <v>0</v>
      </c>
      <c r="AR418" s="33">
        <v>1.0</v>
      </c>
      <c r="AS418" s="33">
        <f t="shared" si="9"/>
        <v>0</v>
      </c>
      <c r="AT418" s="33">
        <v>2.0</v>
      </c>
      <c r="AU418" s="33">
        <f t="shared" si="10"/>
        <v>0</v>
      </c>
      <c r="AV418" s="33">
        <v>2.0</v>
      </c>
      <c r="AW418" s="34">
        <f t="shared" si="11"/>
        <v>0</v>
      </c>
      <c r="AX418" s="34">
        <f t="shared" si="12"/>
        <v>0</v>
      </c>
      <c r="AY418" s="33"/>
    </row>
    <row r="419" ht="15.75" customHeight="1">
      <c r="A419" s="38"/>
      <c r="B419" s="18"/>
      <c r="C419" s="29"/>
      <c r="D419" s="3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>
        <f t="shared" si="1"/>
        <v>0</v>
      </c>
      <c r="AK419" s="36">
        <f t="shared" si="2"/>
        <v>0</v>
      </c>
      <c r="AL419" s="36">
        <f t="shared" si="3"/>
        <v>0</v>
      </c>
      <c r="AM419" s="36">
        <f t="shared" si="4"/>
        <v>0</v>
      </c>
      <c r="AN419" s="36">
        <f t="shared" si="5"/>
        <v>0</v>
      </c>
      <c r="AO419" s="36">
        <f t="shared" si="6"/>
        <v>0</v>
      </c>
      <c r="AP419" s="36">
        <f t="shared" si="7"/>
        <v>0</v>
      </c>
      <c r="AQ419" s="36">
        <f t="shared" si="8"/>
        <v>0</v>
      </c>
      <c r="AR419" s="36">
        <v>1.0</v>
      </c>
      <c r="AS419" s="36">
        <f t="shared" si="9"/>
        <v>0</v>
      </c>
      <c r="AT419" s="36">
        <v>2.0</v>
      </c>
      <c r="AU419" s="36">
        <f t="shared" si="10"/>
        <v>0</v>
      </c>
      <c r="AV419" s="36">
        <v>2.0</v>
      </c>
      <c r="AW419" s="37">
        <f t="shared" si="11"/>
        <v>0</v>
      </c>
      <c r="AX419" s="37">
        <f t="shared" si="12"/>
        <v>0</v>
      </c>
      <c r="AY419" s="36"/>
    </row>
    <row r="420" ht="15.75" customHeight="1">
      <c r="A420" s="38"/>
      <c r="B420" s="24"/>
      <c r="C420" s="31"/>
      <c r="D420" s="32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>
        <f t="shared" si="1"/>
        <v>0</v>
      </c>
      <c r="AK420" s="33">
        <f t="shared" si="2"/>
        <v>0</v>
      </c>
      <c r="AL420" s="33">
        <f t="shared" si="3"/>
        <v>0</v>
      </c>
      <c r="AM420" s="33">
        <f t="shared" si="4"/>
        <v>0</v>
      </c>
      <c r="AN420" s="33">
        <f t="shared" si="5"/>
        <v>0</v>
      </c>
      <c r="AO420" s="33">
        <f t="shared" si="6"/>
        <v>0</v>
      </c>
      <c r="AP420" s="33">
        <f t="shared" si="7"/>
        <v>0</v>
      </c>
      <c r="AQ420" s="33">
        <f t="shared" si="8"/>
        <v>0</v>
      </c>
      <c r="AR420" s="33">
        <v>1.0</v>
      </c>
      <c r="AS420" s="33">
        <f t="shared" si="9"/>
        <v>0</v>
      </c>
      <c r="AT420" s="33">
        <v>2.0</v>
      </c>
      <c r="AU420" s="33">
        <f t="shared" si="10"/>
        <v>0</v>
      </c>
      <c r="AV420" s="33">
        <v>2.0</v>
      </c>
      <c r="AW420" s="34">
        <f t="shared" si="11"/>
        <v>0</v>
      </c>
      <c r="AX420" s="34">
        <f t="shared" si="12"/>
        <v>0</v>
      </c>
      <c r="AY420" s="33"/>
    </row>
    <row r="421" ht="15.75" customHeight="1">
      <c r="A421" s="38"/>
      <c r="B421" s="18"/>
      <c r="C421" s="29"/>
      <c r="D421" s="3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>
        <f t="shared" si="1"/>
        <v>0</v>
      </c>
      <c r="AK421" s="36">
        <f t="shared" si="2"/>
        <v>0</v>
      </c>
      <c r="AL421" s="36">
        <f t="shared" si="3"/>
        <v>0</v>
      </c>
      <c r="AM421" s="36">
        <f t="shared" si="4"/>
        <v>0</v>
      </c>
      <c r="AN421" s="36">
        <f t="shared" si="5"/>
        <v>0</v>
      </c>
      <c r="AO421" s="36">
        <f t="shared" si="6"/>
        <v>0</v>
      </c>
      <c r="AP421" s="36">
        <f t="shared" si="7"/>
        <v>0</v>
      </c>
      <c r="AQ421" s="36">
        <f t="shared" si="8"/>
        <v>0</v>
      </c>
      <c r="AR421" s="36">
        <v>1.0</v>
      </c>
      <c r="AS421" s="36">
        <f t="shared" si="9"/>
        <v>0</v>
      </c>
      <c r="AT421" s="36">
        <v>2.0</v>
      </c>
      <c r="AU421" s="36">
        <f t="shared" si="10"/>
        <v>0</v>
      </c>
      <c r="AV421" s="36">
        <v>2.0</v>
      </c>
      <c r="AW421" s="37">
        <f t="shared" si="11"/>
        <v>0</v>
      </c>
      <c r="AX421" s="37">
        <f t="shared" si="12"/>
        <v>0</v>
      </c>
      <c r="AY421" s="36"/>
    </row>
    <row r="422" ht="15.75" customHeight="1">
      <c r="A422" s="38"/>
      <c r="B422" s="24"/>
      <c r="C422" s="31"/>
      <c r="D422" s="32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>
        <f t="shared" si="1"/>
        <v>0</v>
      </c>
      <c r="AK422" s="33">
        <f t="shared" si="2"/>
        <v>0</v>
      </c>
      <c r="AL422" s="33">
        <f t="shared" si="3"/>
        <v>0</v>
      </c>
      <c r="AM422" s="33">
        <f t="shared" si="4"/>
        <v>0</v>
      </c>
      <c r="AN422" s="33">
        <f t="shared" si="5"/>
        <v>0</v>
      </c>
      <c r="AO422" s="33">
        <f t="shared" si="6"/>
        <v>0</v>
      </c>
      <c r="AP422" s="33">
        <f t="shared" si="7"/>
        <v>0</v>
      </c>
      <c r="AQ422" s="33">
        <f t="shared" si="8"/>
        <v>0</v>
      </c>
      <c r="AR422" s="33">
        <v>1.0</v>
      </c>
      <c r="AS422" s="33">
        <f t="shared" si="9"/>
        <v>0</v>
      </c>
      <c r="AT422" s="33">
        <v>2.0</v>
      </c>
      <c r="AU422" s="33">
        <f t="shared" si="10"/>
        <v>0</v>
      </c>
      <c r="AV422" s="33">
        <v>2.0</v>
      </c>
      <c r="AW422" s="34">
        <f t="shared" si="11"/>
        <v>0</v>
      </c>
      <c r="AX422" s="34">
        <f t="shared" si="12"/>
        <v>0</v>
      </c>
      <c r="AY422" s="33"/>
    </row>
    <row r="423" ht="15.75" customHeight="1">
      <c r="A423" s="38"/>
      <c r="B423" s="18"/>
      <c r="C423" s="29"/>
      <c r="D423" s="3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>
        <f t="shared" si="1"/>
        <v>0</v>
      </c>
      <c r="AK423" s="36">
        <f t="shared" si="2"/>
        <v>0</v>
      </c>
      <c r="AL423" s="36">
        <f t="shared" si="3"/>
        <v>0</v>
      </c>
      <c r="AM423" s="36">
        <f t="shared" si="4"/>
        <v>0</v>
      </c>
      <c r="AN423" s="36">
        <f t="shared" si="5"/>
        <v>0</v>
      </c>
      <c r="AO423" s="36">
        <f t="shared" si="6"/>
        <v>0</v>
      </c>
      <c r="AP423" s="36">
        <f t="shared" si="7"/>
        <v>0</v>
      </c>
      <c r="AQ423" s="36">
        <f t="shared" si="8"/>
        <v>0</v>
      </c>
      <c r="AR423" s="36">
        <v>1.0</v>
      </c>
      <c r="AS423" s="36">
        <f t="shared" si="9"/>
        <v>0</v>
      </c>
      <c r="AT423" s="36">
        <v>2.0</v>
      </c>
      <c r="AU423" s="36">
        <f t="shared" si="10"/>
        <v>0</v>
      </c>
      <c r="AV423" s="36">
        <v>2.0</v>
      </c>
      <c r="AW423" s="37">
        <f t="shared" si="11"/>
        <v>0</v>
      </c>
      <c r="AX423" s="37">
        <f t="shared" si="12"/>
        <v>0</v>
      </c>
      <c r="AY423" s="36"/>
    </row>
    <row r="424" ht="15.75" customHeight="1">
      <c r="A424" s="38"/>
      <c r="B424" s="24"/>
      <c r="C424" s="31"/>
      <c r="D424" s="32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>
        <f t="shared" si="1"/>
        <v>0</v>
      </c>
      <c r="AK424" s="33">
        <f t="shared" si="2"/>
        <v>0</v>
      </c>
      <c r="AL424" s="33">
        <f t="shared" si="3"/>
        <v>0</v>
      </c>
      <c r="AM424" s="33">
        <f t="shared" si="4"/>
        <v>0</v>
      </c>
      <c r="AN424" s="33">
        <f t="shared" si="5"/>
        <v>0</v>
      </c>
      <c r="AO424" s="33">
        <f t="shared" si="6"/>
        <v>0</v>
      </c>
      <c r="AP424" s="33">
        <f t="shared" si="7"/>
        <v>0</v>
      </c>
      <c r="AQ424" s="33">
        <f t="shared" si="8"/>
        <v>0</v>
      </c>
      <c r="AR424" s="33">
        <v>1.0</v>
      </c>
      <c r="AS424" s="33">
        <f t="shared" si="9"/>
        <v>0</v>
      </c>
      <c r="AT424" s="33">
        <v>2.0</v>
      </c>
      <c r="AU424" s="33">
        <f t="shared" si="10"/>
        <v>0</v>
      </c>
      <c r="AV424" s="33">
        <v>2.0</v>
      </c>
      <c r="AW424" s="34">
        <f t="shared" si="11"/>
        <v>0</v>
      </c>
      <c r="AX424" s="34">
        <f t="shared" si="12"/>
        <v>0</v>
      </c>
      <c r="AY424" s="33"/>
    </row>
    <row r="425" ht="15.75" customHeight="1">
      <c r="A425" s="38"/>
      <c r="B425" s="18"/>
      <c r="C425" s="29"/>
      <c r="D425" s="3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>
        <f t="shared" si="1"/>
        <v>0</v>
      </c>
      <c r="AK425" s="36">
        <f t="shared" si="2"/>
        <v>0</v>
      </c>
      <c r="AL425" s="36">
        <f t="shared" si="3"/>
        <v>0</v>
      </c>
      <c r="AM425" s="36">
        <f t="shared" si="4"/>
        <v>0</v>
      </c>
      <c r="AN425" s="36">
        <f t="shared" si="5"/>
        <v>0</v>
      </c>
      <c r="AO425" s="36">
        <f t="shared" si="6"/>
        <v>0</v>
      </c>
      <c r="AP425" s="36">
        <f t="shared" si="7"/>
        <v>0</v>
      </c>
      <c r="AQ425" s="36">
        <f t="shared" si="8"/>
        <v>0</v>
      </c>
      <c r="AR425" s="36">
        <v>1.0</v>
      </c>
      <c r="AS425" s="36">
        <f t="shared" si="9"/>
        <v>0</v>
      </c>
      <c r="AT425" s="36">
        <v>2.0</v>
      </c>
      <c r="AU425" s="36">
        <f t="shared" si="10"/>
        <v>0</v>
      </c>
      <c r="AV425" s="36">
        <v>2.0</v>
      </c>
      <c r="AW425" s="37">
        <f t="shared" si="11"/>
        <v>0</v>
      </c>
      <c r="AX425" s="37">
        <f t="shared" si="12"/>
        <v>0</v>
      </c>
      <c r="AY425" s="36"/>
    </row>
    <row r="426" ht="15.75" customHeight="1">
      <c r="A426" s="38"/>
      <c r="B426" s="24"/>
      <c r="C426" s="31"/>
      <c r="D426" s="32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>
        <f t="shared" si="1"/>
        <v>0</v>
      </c>
      <c r="AK426" s="33">
        <f t="shared" si="2"/>
        <v>0</v>
      </c>
      <c r="AL426" s="33">
        <f t="shared" si="3"/>
        <v>0</v>
      </c>
      <c r="AM426" s="33">
        <f t="shared" si="4"/>
        <v>0</v>
      </c>
      <c r="AN426" s="33">
        <f t="shared" si="5"/>
        <v>0</v>
      </c>
      <c r="AO426" s="33">
        <f t="shared" si="6"/>
        <v>0</v>
      </c>
      <c r="AP426" s="33">
        <f t="shared" si="7"/>
        <v>0</v>
      </c>
      <c r="AQ426" s="33">
        <f t="shared" si="8"/>
        <v>0</v>
      </c>
      <c r="AR426" s="33">
        <v>1.0</v>
      </c>
      <c r="AS426" s="33">
        <f t="shared" si="9"/>
        <v>0</v>
      </c>
      <c r="AT426" s="33">
        <v>2.0</v>
      </c>
      <c r="AU426" s="33">
        <f t="shared" si="10"/>
        <v>0</v>
      </c>
      <c r="AV426" s="33">
        <v>2.0</v>
      </c>
      <c r="AW426" s="34">
        <f t="shared" si="11"/>
        <v>0</v>
      </c>
      <c r="AX426" s="34">
        <f t="shared" si="12"/>
        <v>0</v>
      </c>
      <c r="AY426" s="33"/>
    </row>
    <row r="427" ht="15.75" customHeight="1">
      <c r="A427" s="38"/>
      <c r="B427" s="18"/>
      <c r="C427" s="29"/>
      <c r="D427" s="3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>
        <f t="shared" si="1"/>
        <v>0</v>
      </c>
      <c r="AK427" s="36">
        <f t="shared" si="2"/>
        <v>0</v>
      </c>
      <c r="AL427" s="36">
        <f t="shared" si="3"/>
        <v>0</v>
      </c>
      <c r="AM427" s="36">
        <f t="shared" si="4"/>
        <v>0</v>
      </c>
      <c r="AN427" s="36">
        <f t="shared" si="5"/>
        <v>0</v>
      </c>
      <c r="AO427" s="36">
        <f t="shared" si="6"/>
        <v>0</v>
      </c>
      <c r="AP427" s="36">
        <f t="shared" si="7"/>
        <v>0</v>
      </c>
      <c r="AQ427" s="36">
        <f t="shared" si="8"/>
        <v>0</v>
      </c>
      <c r="AR427" s="36">
        <v>1.0</v>
      </c>
      <c r="AS427" s="36">
        <f t="shared" si="9"/>
        <v>0</v>
      </c>
      <c r="AT427" s="36">
        <v>2.0</v>
      </c>
      <c r="AU427" s="36">
        <f t="shared" si="10"/>
        <v>0</v>
      </c>
      <c r="AV427" s="36">
        <v>2.0</v>
      </c>
      <c r="AW427" s="37">
        <f t="shared" si="11"/>
        <v>0</v>
      </c>
      <c r="AX427" s="37">
        <f t="shared" si="12"/>
        <v>0</v>
      </c>
      <c r="AY427" s="36"/>
    </row>
    <row r="428" ht="15.75" customHeight="1">
      <c r="A428" s="38"/>
      <c r="B428" s="24"/>
      <c r="C428" s="31"/>
      <c r="D428" s="32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>
        <f t="shared" si="1"/>
        <v>0</v>
      </c>
      <c r="AK428" s="33">
        <f t="shared" si="2"/>
        <v>0</v>
      </c>
      <c r="AL428" s="33">
        <f t="shared" si="3"/>
        <v>0</v>
      </c>
      <c r="AM428" s="33">
        <f t="shared" si="4"/>
        <v>0</v>
      </c>
      <c r="AN428" s="33">
        <f t="shared" si="5"/>
        <v>0</v>
      </c>
      <c r="AO428" s="33">
        <f t="shared" si="6"/>
        <v>0</v>
      </c>
      <c r="AP428" s="33">
        <f t="shared" si="7"/>
        <v>0</v>
      </c>
      <c r="AQ428" s="33">
        <f t="shared" si="8"/>
        <v>0</v>
      </c>
      <c r="AR428" s="33">
        <v>1.0</v>
      </c>
      <c r="AS428" s="33">
        <f t="shared" si="9"/>
        <v>0</v>
      </c>
      <c r="AT428" s="33">
        <v>2.0</v>
      </c>
      <c r="AU428" s="33">
        <f t="shared" si="10"/>
        <v>0</v>
      </c>
      <c r="AV428" s="33">
        <v>2.0</v>
      </c>
      <c r="AW428" s="34">
        <f t="shared" si="11"/>
        <v>0</v>
      </c>
      <c r="AX428" s="34">
        <f t="shared" si="12"/>
        <v>0</v>
      </c>
      <c r="AY428" s="33"/>
    </row>
    <row r="429" ht="15.75" customHeight="1">
      <c r="A429" s="38"/>
      <c r="B429" s="18"/>
      <c r="C429" s="29"/>
      <c r="D429" s="3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>
        <f t="shared" si="1"/>
        <v>0</v>
      </c>
      <c r="AK429" s="36">
        <f t="shared" si="2"/>
        <v>0</v>
      </c>
      <c r="AL429" s="36">
        <f t="shared" si="3"/>
        <v>0</v>
      </c>
      <c r="AM429" s="36">
        <f t="shared" si="4"/>
        <v>0</v>
      </c>
      <c r="AN429" s="36">
        <f t="shared" si="5"/>
        <v>0</v>
      </c>
      <c r="AO429" s="36">
        <f t="shared" si="6"/>
        <v>0</v>
      </c>
      <c r="AP429" s="36">
        <f t="shared" si="7"/>
        <v>0</v>
      </c>
      <c r="AQ429" s="36">
        <f t="shared" si="8"/>
        <v>0</v>
      </c>
      <c r="AR429" s="36">
        <v>1.0</v>
      </c>
      <c r="AS429" s="36">
        <f t="shared" si="9"/>
        <v>0</v>
      </c>
      <c r="AT429" s="36">
        <v>2.0</v>
      </c>
      <c r="AU429" s="36">
        <f t="shared" si="10"/>
        <v>0</v>
      </c>
      <c r="AV429" s="36">
        <v>2.0</v>
      </c>
      <c r="AW429" s="37">
        <f t="shared" si="11"/>
        <v>0</v>
      </c>
      <c r="AX429" s="37">
        <f t="shared" si="12"/>
        <v>0</v>
      </c>
      <c r="AY429" s="36"/>
    </row>
    <row r="430" ht="15.75" customHeight="1">
      <c r="A430" s="38"/>
      <c r="B430" s="24"/>
      <c r="C430" s="31"/>
      <c r="D430" s="32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>
        <f t="shared" si="1"/>
        <v>0</v>
      </c>
      <c r="AK430" s="33">
        <f t="shared" si="2"/>
        <v>0</v>
      </c>
      <c r="AL430" s="33">
        <f t="shared" si="3"/>
        <v>0</v>
      </c>
      <c r="AM430" s="33">
        <f t="shared" si="4"/>
        <v>0</v>
      </c>
      <c r="AN430" s="33">
        <f t="shared" si="5"/>
        <v>0</v>
      </c>
      <c r="AO430" s="33">
        <f t="shared" si="6"/>
        <v>0</v>
      </c>
      <c r="AP430" s="33">
        <f t="shared" si="7"/>
        <v>0</v>
      </c>
      <c r="AQ430" s="33">
        <f t="shared" si="8"/>
        <v>0</v>
      </c>
      <c r="AR430" s="33">
        <v>1.0</v>
      </c>
      <c r="AS430" s="33">
        <f t="shared" si="9"/>
        <v>0</v>
      </c>
      <c r="AT430" s="33">
        <v>2.0</v>
      </c>
      <c r="AU430" s="33">
        <f t="shared" si="10"/>
        <v>0</v>
      </c>
      <c r="AV430" s="33">
        <v>2.0</v>
      </c>
      <c r="AW430" s="34">
        <f t="shared" si="11"/>
        <v>0</v>
      </c>
      <c r="AX430" s="34">
        <f t="shared" si="12"/>
        <v>0</v>
      </c>
      <c r="AY430" s="33"/>
    </row>
    <row r="431" ht="15.75" customHeight="1">
      <c r="A431" s="38"/>
      <c r="B431" s="18"/>
      <c r="C431" s="29"/>
      <c r="D431" s="3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>
        <f t="shared" si="1"/>
        <v>0</v>
      </c>
      <c r="AK431" s="36">
        <f t="shared" si="2"/>
        <v>0</v>
      </c>
      <c r="AL431" s="36">
        <f t="shared" si="3"/>
        <v>0</v>
      </c>
      <c r="AM431" s="36">
        <f t="shared" si="4"/>
        <v>0</v>
      </c>
      <c r="AN431" s="36">
        <f t="shared" si="5"/>
        <v>0</v>
      </c>
      <c r="AO431" s="36">
        <f t="shared" si="6"/>
        <v>0</v>
      </c>
      <c r="AP431" s="36">
        <f t="shared" si="7"/>
        <v>0</v>
      </c>
      <c r="AQ431" s="36">
        <f t="shared" si="8"/>
        <v>0</v>
      </c>
      <c r="AR431" s="36">
        <v>1.0</v>
      </c>
      <c r="AS431" s="36">
        <f t="shared" si="9"/>
        <v>0</v>
      </c>
      <c r="AT431" s="36">
        <v>2.0</v>
      </c>
      <c r="AU431" s="36">
        <f t="shared" si="10"/>
        <v>0</v>
      </c>
      <c r="AV431" s="36">
        <v>2.0</v>
      </c>
      <c r="AW431" s="37">
        <f t="shared" si="11"/>
        <v>0</v>
      </c>
      <c r="AX431" s="37">
        <f t="shared" si="12"/>
        <v>0</v>
      </c>
      <c r="AY431" s="36"/>
    </row>
    <row r="432" ht="15.75" customHeight="1">
      <c r="A432" s="38"/>
      <c r="B432" s="24"/>
      <c r="C432" s="31"/>
      <c r="D432" s="32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>
        <f t="shared" si="1"/>
        <v>0</v>
      </c>
      <c r="AK432" s="33">
        <f t="shared" si="2"/>
        <v>0</v>
      </c>
      <c r="AL432" s="33">
        <f t="shared" si="3"/>
        <v>0</v>
      </c>
      <c r="AM432" s="33">
        <f t="shared" si="4"/>
        <v>0</v>
      </c>
      <c r="AN432" s="33">
        <f t="shared" si="5"/>
        <v>0</v>
      </c>
      <c r="AO432" s="33">
        <f t="shared" si="6"/>
        <v>0</v>
      </c>
      <c r="AP432" s="33">
        <f t="shared" si="7"/>
        <v>0</v>
      </c>
      <c r="AQ432" s="33">
        <f t="shared" si="8"/>
        <v>0</v>
      </c>
      <c r="AR432" s="33">
        <v>1.0</v>
      </c>
      <c r="AS432" s="33">
        <f t="shared" si="9"/>
        <v>0</v>
      </c>
      <c r="AT432" s="33">
        <v>2.0</v>
      </c>
      <c r="AU432" s="33">
        <f t="shared" si="10"/>
        <v>0</v>
      </c>
      <c r="AV432" s="33">
        <v>2.0</v>
      </c>
      <c r="AW432" s="34">
        <f t="shared" si="11"/>
        <v>0</v>
      </c>
      <c r="AX432" s="34">
        <f t="shared" si="12"/>
        <v>0</v>
      </c>
      <c r="AY432" s="33"/>
    </row>
    <row r="433" ht="15.75" customHeight="1">
      <c r="A433" s="38"/>
      <c r="B433" s="18"/>
      <c r="C433" s="29"/>
      <c r="D433" s="3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>
        <f t="shared" si="1"/>
        <v>0</v>
      </c>
      <c r="AK433" s="36">
        <f t="shared" si="2"/>
        <v>0</v>
      </c>
      <c r="AL433" s="36">
        <f t="shared" si="3"/>
        <v>0</v>
      </c>
      <c r="AM433" s="36">
        <f t="shared" si="4"/>
        <v>0</v>
      </c>
      <c r="AN433" s="36">
        <f t="shared" si="5"/>
        <v>0</v>
      </c>
      <c r="AO433" s="36">
        <f t="shared" si="6"/>
        <v>0</v>
      </c>
      <c r="AP433" s="36">
        <f t="shared" si="7"/>
        <v>0</v>
      </c>
      <c r="AQ433" s="36">
        <f t="shared" si="8"/>
        <v>0</v>
      </c>
      <c r="AR433" s="36">
        <v>1.0</v>
      </c>
      <c r="AS433" s="36">
        <f t="shared" si="9"/>
        <v>0</v>
      </c>
      <c r="AT433" s="36">
        <v>2.0</v>
      </c>
      <c r="AU433" s="36">
        <f t="shared" si="10"/>
        <v>0</v>
      </c>
      <c r="AV433" s="36">
        <v>2.0</v>
      </c>
      <c r="AW433" s="37">
        <f t="shared" si="11"/>
        <v>0</v>
      </c>
      <c r="AX433" s="37">
        <f t="shared" si="12"/>
        <v>0</v>
      </c>
      <c r="AY433" s="36"/>
    </row>
    <row r="434" ht="15.75" customHeight="1">
      <c r="A434" s="38"/>
      <c r="B434" s="24"/>
      <c r="C434" s="31"/>
      <c r="D434" s="32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>
        <f t="shared" si="1"/>
        <v>0</v>
      </c>
      <c r="AK434" s="33">
        <f t="shared" si="2"/>
        <v>0</v>
      </c>
      <c r="AL434" s="33">
        <f t="shared" si="3"/>
        <v>0</v>
      </c>
      <c r="AM434" s="33">
        <f t="shared" si="4"/>
        <v>0</v>
      </c>
      <c r="AN434" s="33">
        <f t="shared" si="5"/>
        <v>0</v>
      </c>
      <c r="AO434" s="33">
        <f t="shared" si="6"/>
        <v>0</v>
      </c>
      <c r="AP434" s="33">
        <f t="shared" si="7"/>
        <v>0</v>
      </c>
      <c r="AQ434" s="33">
        <f t="shared" si="8"/>
        <v>0</v>
      </c>
      <c r="AR434" s="33">
        <v>1.0</v>
      </c>
      <c r="AS434" s="33">
        <f t="shared" si="9"/>
        <v>0</v>
      </c>
      <c r="AT434" s="33">
        <v>2.0</v>
      </c>
      <c r="AU434" s="33">
        <f t="shared" si="10"/>
        <v>0</v>
      </c>
      <c r="AV434" s="33">
        <v>2.0</v>
      </c>
      <c r="AW434" s="34">
        <f t="shared" si="11"/>
        <v>0</v>
      </c>
      <c r="AX434" s="34">
        <f t="shared" si="12"/>
        <v>0</v>
      </c>
      <c r="AY434" s="33"/>
    </row>
    <row r="435" ht="15.75" customHeight="1">
      <c r="A435" s="38"/>
      <c r="B435" s="18"/>
      <c r="C435" s="29"/>
      <c r="D435" s="3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>
        <f t="shared" si="1"/>
        <v>0</v>
      </c>
      <c r="AK435" s="36">
        <f t="shared" si="2"/>
        <v>0</v>
      </c>
      <c r="AL435" s="36">
        <f t="shared" si="3"/>
        <v>0</v>
      </c>
      <c r="AM435" s="36">
        <f t="shared" si="4"/>
        <v>0</v>
      </c>
      <c r="AN435" s="36">
        <f t="shared" si="5"/>
        <v>0</v>
      </c>
      <c r="AO435" s="36">
        <f t="shared" si="6"/>
        <v>0</v>
      </c>
      <c r="AP435" s="36">
        <f t="shared" si="7"/>
        <v>0</v>
      </c>
      <c r="AQ435" s="36">
        <f t="shared" si="8"/>
        <v>0</v>
      </c>
      <c r="AR435" s="36">
        <v>1.0</v>
      </c>
      <c r="AS435" s="36">
        <f t="shared" si="9"/>
        <v>0</v>
      </c>
      <c r="AT435" s="36">
        <v>2.0</v>
      </c>
      <c r="AU435" s="36">
        <f t="shared" si="10"/>
        <v>0</v>
      </c>
      <c r="AV435" s="36">
        <v>2.0</v>
      </c>
      <c r="AW435" s="37">
        <f t="shared" si="11"/>
        <v>0</v>
      </c>
      <c r="AX435" s="37">
        <f t="shared" si="12"/>
        <v>0</v>
      </c>
      <c r="AY435" s="36"/>
    </row>
    <row r="436" ht="15.75" customHeight="1">
      <c r="A436" s="38"/>
      <c r="B436" s="24"/>
      <c r="C436" s="31"/>
      <c r="D436" s="32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>
        <f t="shared" si="1"/>
        <v>0</v>
      </c>
      <c r="AK436" s="33">
        <f t="shared" si="2"/>
        <v>0</v>
      </c>
      <c r="AL436" s="33">
        <f t="shared" si="3"/>
        <v>0</v>
      </c>
      <c r="AM436" s="33">
        <f t="shared" si="4"/>
        <v>0</v>
      </c>
      <c r="AN436" s="33">
        <f t="shared" si="5"/>
        <v>0</v>
      </c>
      <c r="AO436" s="33">
        <f t="shared" si="6"/>
        <v>0</v>
      </c>
      <c r="AP436" s="33">
        <f t="shared" si="7"/>
        <v>0</v>
      </c>
      <c r="AQ436" s="33">
        <f t="shared" si="8"/>
        <v>0</v>
      </c>
      <c r="AR436" s="33">
        <v>1.0</v>
      </c>
      <c r="AS436" s="33">
        <f t="shared" si="9"/>
        <v>0</v>
      </c>
      <c r="AT436" s="33">
        <v>2.0</v>
      </c>
      <c r="AU436" s="33">
        <f t="shared" si="10"/>
        <v>0</v>
      </c>
      <c r="AV436" s="33">
        <v>2.0</v>
      </c>
      <c r="AW436" s="34">
        <f t="shared" si="11"/>
        <v>0</v>
      </c>
      <c r="AX436" s="34">
        <f t="shared" si="12"/>
        <v>0</v>
      </c>
      <c r="AY436" s="33"/>
    </row>
    <row r="437" ht="15.75" customHeight="1">
      <c r="A437" s="38"/>
      <c r="B437" s="18"/>
      <c r="C437" s="29"/>
      <c r="D437" s="3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>
        <f t="shared" si="1"/>
        <v>0</v>
      </c>
      <c r="AK437" s="36">
        <f t="shared" si="2"/>
        <v>0</v>
      </c>
      <c r="AL437" s="36">
        <f t="shared" si="3"/>
        <v>0</v>
      </c>
      <c r="AM437" s="36">
        <f t="shared" si="4"/>
        <v>0</v>
      </c>
      <c r="AN437" s="36">
        <f t="shared" si="5"/>
        <v>0</v>
      </c>
      <c r="AO437" s="36">
        <f t="shared" si="6"/>
        <v>0</v>
      </c>
      <c r="AP437" s="36">
        <f t="shared" si="7"/>
        <v>0</v>
      </c>
      <c r="AQ437" s="36">
        <f t="shared" si="8"/>
        <v>0</v>
      </c>
      <c r="AR437" s="36">
        <v>1.0</v>
      </c>
      <c r="AS437" s="36">
        <f t="shared" si="9"/>
        <v>0</v>
      </c>
      <c r="AT437" s="36">
        <v>2.0</v>
      </c>
      <c r="AU437" s="36">
        <f t="shared" si="10"/>
        <v>0</v>
      </c>
      <c r="AV437" s="36">
        <v>2.0</v>
      </c>
      <c r="AW437" s="37">
        <f t="shared" si="11"/>
        <v>0</v>
      </c>
      <c r="AX437" s="37">
        <f t="shared" si="12"/>
        <v>0</v>
      </c>
      <c r="AY437" s="36"/>
    </row>
    <row r="438" ht="15.75" customHeight="1">
      <c r="A438" s="38"/>
      <c r="B438" s="24"/>
      <c r="C438" s="31"/>
      <c r="D438" s="32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>
        <f t="shared" si="1"/>
        <v>0</v>
      </c>
      <c r="AK438" s="33">
        <f t="shared" si="2"/>
        <v>0</v>
      </c>
      <c r="AL438" s="33">
        <f t="shared" si="3"/>
        <v>0</v>
      </c>
      <c r="AM438" s="33">
        <f t="shared" si="4"/>
        <v>0</v>
      </c>
      <c r="AN438" s="33">
        <f t="shared" si="5"/>
        <v>0</v>
      </c>
      <c r="AO438" s="33">
        <f t="shared" si="6"/>
        <v>0</v>
      </c>
      <c r="AP438" s="33">
        <f t="shared" si="7"/>
        <v>0</v>
      </c>
      <c r="AQ438" s="33">
        <f t="shared" si="8"/>
        <v>0</v>
      </c>
      <c r="AR438" s="33">
        <v>1.0</v>
      </c>
      <c r="AS438" s="33">
        <f t="shared" si="9"/>
        <v>0</v>
      </c>
      <c r="AT438" s="33">
        <v>2.0</v>
      </c>
      <c r="AU438" s="33">
        <f t="shared" si="10"/>
        <v>0</v>
      </c>
      <c r="AV438" s="33">
        <v>2.0</v>
      </c>
      <c r="AW438" s="34">
        <f t="shared" si="11"/>
        <v>0</v>
      </c>
      <c r="AX438" s="34">
        <f t="shared" si="12"/>
        <v>0</v>
      </c>
      <c r="AY438" s="33"/>
    </row>
    <row r="439" ht="15.75" customHeight="1">
      <c r="A439" s="38"/>
      <c r="B439" s="18"/>
      <c r="C439" s="29"/>
      <c r="D439" s="3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>
        <f t="shared" si="1"/>
        <v>0</v>
      </c>
      <c r="AK439" s="36">
        <f t="shared" si="2"/>
        <v>0</v>
      </c>
      <c r="AL439" s="36">
        <f t="shared" si="3"/>
        <v>0</v>
      </c>
      <c r="AM439" s="36">
        <f t="shared" si="4"/>
        <v>0</v>
      </c>
      <c r="AN439" s="36">
        <f t="shared" si="5"/>
        <v>0</v>
      </c>
      <c r="AO439" s="36">
        <f t="shared" si="6"/>
        <v>0</v>
      </c>
      <c r="AP439" s="36">
        <f t="shared" si="7"/>
        <v>0</v>
      </c>
      <c r="AQ439" s="36">
        <f t="shared" si="8"/>
        <v>0</v>
      </c>
      <c r="AR439" s="36">
        <v>1.0</v>
      </c>
      <c r="AS439" s="36">
        <f t="shared" si="9"/>
        <v>0</v>
      </c>
      <c r="AT439" s="36">
        <v>2.0</v>
      </c>
      <c r="AU439" s="36">
        <f t="shared" si="10"/>
        <v>0</v>
      </c>
      <c r="AV439" s="36">
        <v>2.0</v>
      </c>
      <c r="AW439" s="37">
        <f t="shared" si="11"/>
        <v>0</v>
      </c>
      <c r="AX439" s="37">
        <f t="shared" si="12"/>
        <v>0</v>
      </c>
      <c r="AY439" s="36"/>
    </row>
    <row r="440" ht="15.75" customHeight="1">
      <c r="A440" s="38"/>
      <c r="B440" s="24"/>
      <c r="C440" s="31"/>
      <c r="D440" s="32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>
        <f t="shared" si="1"/>
        <v>0</v>
      </c>
      <c r="AK440" s="33">
        <f t="shared" si="2"/>
        <v>0</v>
      </c>
      <c r="AL440" s="33">
        <f t="shared" si="3"/>
        <v>0</v>
      </c>
      <c r="AM440" s="33">
        <f t="shared" si="4"/>
        <v>0</v>
      </c>
      <c r="AN440" s="33">
        <f t="shared" si="5"/>
        <v>0</v>
      </c>
      <c r="AO440" s="33">
        <f t="shared" si="6"/>
        <v>0</v>
      </c>
      <c r="AP440" s="33">
        <f t="shared" si="7"/>
        <v>0</v>
      </c>
      <c r="AQ440" s="33">
        <f t="shared" si="8"/>
        <v>0</v>
      </c>
      <c r="AR440" s="33">
        <v>1.0</v>
      </c>
      <c r="AS440" s="33">
        <f t="shared" si="9"/>
        <v>0</v>
      </c>
      <c r="AT440" s="33">
        <v>2.0</v>
      </c>
      <c r="AU440" s="33">
        <f t="shared" si="10"/>
        <v>0</v>
      </c>
      <c r="AV440" s="33">
        <v>2.0</v>
      </c>
      <c r="AW440" s="34">
        <f t="shared" si="11"/>
        <v>0</v>
      </c>
      <c r="AX440" s="34">
        <f t="shared" si="12"/>
        <v>0</v>
      </c>
      <c r="AY440" s="33"/>
    </row>
    <row r="441" ht="15.75" customHeight="1">
      <c r="A441" s="38"/>
      <c r="B441" s="18"/>
      <c r="C441" s="29"/>
      <c r="D441" s="3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>
        <f t="shared" si="1"/>
        <v>0</v>
      </c>
      <c r="AK441" s="36">
        <f t="shared" si="2"/>
        <v>0</v>
      </c>
      <c r="AL441" s="36">
        <f t="shared" si="3"/>
        <v>0</v>
      </c>
      <c r="AM441" s="36">
        <f t="shared" si="4"/>
        <v>0</v>
      </c>
      <c r="AN441" s="36">
        <f t="shared" si="5"/>
        <v>0</v>
      </c>
      <c r="AO441" s="36">
        <f t="shared" si="6"/>
        <v>0</v>
      </c>
      <c r="AP441" s="36">
        <f t="shared" si="7"/>
        <v>0</v>
      </c>
      <c r="AQ441" s="36">
        <f t="shared" si="8"/>
        <v>0</v>
      </c>
      <c r="AR441" s="36">
        <v>1.0</v>
      </c>
      <c r="AS441" s="36">
        <f t="shared" si="9"/>
        <v>0</v>
      </c>
      <c r="AT441" s="36">
        <v>2.0</v>
      </c>
      <c r="AU441" s="36">
        <f t="shared" si="10"/>
        <v>0</v>
      </c>
      <c r="AV441" s="36">
        <v>2.0</v>
      </c>
      <c r="AW441" s="37">
        <f t="shared" si="11"/>
        <v>0</v>
      </c>
      <c r="AX441" s="37">
        <f t="shared" si="12"/>
        <v>0</v>
      </c>
      <c r="AY441" s="36"/>
    </row>
    <row r="442" ht="15.75" customHeight="1">
      <c r="A442" s="38"/>
      <c r="B442" s="24"/>
      <c r="C442" s="31"/>
      <c r="D442" s="32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>
        <f t="shared" si="1"/>
        <v>0</v>
      </c>
      <c r="AK442" s="33">
        <f t="shared" si="2"/>
        <v>0</v>
      </c>
      <c r="AL442" s="33">
        <f t="shared" si="3"/>
        <v>0</v>
      </c>
      <c r="AM442" s="33">
        <f t="shared" si="4"/>
        <v>0</v>
      </c>
      <c r="AN442" s="33">
        <f t="shared" si="5"/>
        <v>0</v>
      </c>
      <c r="AO442" s="33">
        <f t="shared" si="6"/>
        <v>0</v>
      </c>
      <c r="AP442" s="33">
        <f t="shared" si="7"/>
        <v>0</v>
      </c>
      <c r="AQ442" s="33">
        <f t="shared" si="8"/>
        <v>0</v>
      </c>
      <c r="AR442" s="33">
        <v>1.0</v>
      </c>
      <c r="AS442" s="33">
        <f t="shared" si="9"/>
        <v>0</v>
      </c>
      <c r="AT442" s="33">
        <v>2.0</v>
      </c>
      <c r="AU442" s="33">
        <f t="shared" si="10"/>
        <v>0</v>
      </c>
      <c r="AV442" s="33">
        <v>2.0</v>
      </c>
      <c r="AW442" s="34">
        <f t="shared" si="11"/>
        <v>0</v>
      </c>
      <c r="AX442" s="34">
        <f t="shared" si="12"/>
        <v>0</v>
      </c>
      <c r="AY442" s="33"/>
    </row>
    <row r="443" ht="15.75" customHeight="1">
      <c r="A443" s="38"/>
      <c r="B443" s="18"/>
      <c r="C443" s="29"/>
      <c r="D443" s="3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>
        <f t="shared" si="1"/>
        <v>0</v>
      </c>
      <c r="AK443" s="36">
        <f t="shared" si="2"/>
        <v>0</v>
      </c>
      <c r="AL443" s="36">
        <f t="shared" si="3"/>
        <v>0</v>
      </c>
      <c r="AM443" s="36">
        <f t="shared" si="4"/>
        <v>0</v>
      </c>
      <c r="AN443" s="36">
        <f t="shared" si="5"/>
        <v>0</v>
      </c>
      <c r="AO443" s="36">
        <f t="shared" si="6"/>
        <v>0</v>
      </c>
      <c r="AP443" s="36">
        <f t="shared" si="7"/>
        <v>0</v>
      </c>
      <c r="AQ443" s="36">
        <f t="shared" si="8"/>
        <v>0</v>
      </c>
      <c r="AR443" s="36">
        <v>1.0</v>
      </c>
      <c r="AS443" s="36">
        <f t="shared" si="9"/>
        <v>0</v>
      </c>
      <c r="AT443" s="36">
        <v>2.0</v>
      </c>
      <c r="AU443" s="36">
        <f t="shared" si="10"/>
        <v>0</v>
      </c>
      <c r="AV443" s="36">
        <v>2.0</v>
      </c>
      <c r="AW443" s="37">
        <f t="shared" si="11"/>
        <v>0</v>
      </c>
      <c r="AX443" s="37">
        <f t="shared" si="12"/>
        <v>0</v>
      </c>
      <c r="AY443" s="36"/>
    </row>
    <row r="444" ht="15.75" customHeight="1">
      <c r="A444" s="38"/>
      <c r="B444" s="24"/>
      <c r="C444" s="31"/>
      <c r="D444" s="32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>
        <f t="shared" si="1"/>
        <v>0</v>
      </c>
      <c r="AK444" s="33">
        <f t="shared" si="2"/>
        <v>0</v>
      </c>
      <c r="AL444" s="33">
        <f t="shared" si="3"/>
        <v>0</v>
      </c>
      <c r="AM444" s="33">
        <f t="shared" si="4"/>
        <v>0</v>
      </c>
      <c r="AN444" s="33">
        <f t="shared" si="5"/>
        <v>0</v>
      </c>
      <c r="AO444" s="33">
        <f t="shared" si="6"/>
        <v>0</v>
      </c>
      <c r="AP444" s="33">
        <f t="shared" si="7"/>
        <v>0</v>
      </c>
      <c r="AQ444" s="33">
        <f t="shared" si="8"/>
        <v>0</v>
      </c>
      <c r="AR444" s="33">
        <v>1.0</v>
      </c>
      <c r="AS444" s="33">
        <f t="shared" si="9"/>
        <v>0</v>
      </c>
      <c r="AT444" s="33">
        <v>2.0</v>
      </c>
      <c r="AU444" s="33">
        <f t="shared" si="10"/>
        <v>0</v>
      </c>
      <c r="AV444" s="33">
        <v>2.0</v>
      </c>
      <c r="AW444" s="34">
        <f t="shared" si="11"/>
        <v>0</v>
      </c>
      <c r="AX444" s="34">
        <f t="shared" si="12"/>
        <v>0</v>
      </c>
      <c r="AY444" s="33"/>
    </row>
    <row r="445" ht="15.75" customHeight="1">
      <c r="A445" s="38"/>
      <c r="B445" s="18"/>
      <c r="C445" s="29"/>
      <c r="D445" s="3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>
        <f t="shared" si="1"/>
        <v>0</v>
      </c>
      <c r="AK445" s="36">
        <f t="shared" si="2"/>
        <v>0</v>
      </c>
      <c r="AL445" s="36">
        <f t="shared" si="3"/>
        <v>0</v>
      </c>
      <c r="AM445" s="36">
        <f t="shared" si="4"/>
        <v>0</v>
      </c>
      <c r="AN445" s="36">
        <f t="shared" si="5"/>
        <v>0</v>
      </c>
      <c r="AO445" s="36">
        <f t="shared" si="6"/>
        <v>0</v>
      </c>
      <c r="AP445" s="36">
        <f t="shared" si="7"/>
        <v>0</v>
      </c>
      <c r="AQ445" s="36">
        <f t="shared" si="8"/>
        <v>0</v>
      </c>
      <c r="AR445" s="36">
        <v>1.0</v>
      </c>
      <c r="AS445" s="36">
        <f t="shared" si="9"/>
        <v>0</v>
      </c>
      <c r="AT445" s="36">
        <v>2.0</v>
      </c>
      <c r="AU445" s="36">
        <f t="shared" si="10"/>
        <v>0</v>
      </c>
      <c r="AV445" s="36">
        <v>2.0</v>
      </c>
      <c r="AW445" s="37">
        <f t="shared" si="11"/>
        <v>0</v>
      </c>
      <c r="AX445" s="37">
        <f t="shared" si="12"/>
        <v>0</v>
      </c>
      <c r="AY445" s="36"/>
    </row>
    <row r="446" ht="15.75" customHeight="1">
      <c r="A446" s="38"/>
      <c r="B446" s="24"/>
      <c r="C446" s="31"/>
      <c r="D446" s="32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>
        <f t="shared" si="1"/>
        <v>0</v>
      </c>
      <c r="AK446" s="33">
        <f t="shared" si="2"/>
        <v>0</v>
      </c>
      <c r="AL446" s="33">
        <f t="shared" si="3"/>
        <v>0</v>
      </c>
      <c r="AM446" s="33">
        <f t="shared" si="4"/>
        <v>0</v>
      </c>
      <c r="AN446" s="33">
        <f t="shared" si="5"/>
        <v>0</v>
      </c>
      <c r="AO446" s="33">
        <f t="shared" si="6"/>
        <v>0</v>
      </c>
      <c r="AP446" s="33">
        <f t="shared" si="7"/>
        <v>0</v>
      </c>
      <c r="AQ446" s="33">
        <f t="shared" si="8"/>
        <v>0</v>
      </c>
      <c r="AR446" s="33">
        <v>1.0</v>
      </c>
      <c r="AS446" s="33">
        <f t="shared" si="9"/>
        <v>0</v>
      </c>
      <c r="AT446" s="33">
        <v>2.0</v>
      </c>
      <c r="AU446" s="33">
        <f t="shared" si="10"/>
        <v>0</v>
      </c>
      <c r="AV446" s="33">
        <v>2.0</v>
      </c>
      <c r="AW446" s="34">
        <f t="shared" si="11"/>
        <v>0</v>
      </c>
      <c r="AX446" s="34">
        <f t="shared" si="12"/>
        <v>0</v>
      </c>
      <c r="AY446" s="33"/>
    </row>
    <row r="447" ht="15.75" customHeight="1">
      <c r="A447" s="38"/>
      <c r="B447" s="18"/>
      <c r="C447" s="29"/>
      <c r="D447" s="3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>
        <f t="shared" si="1"/>
        <v>0</v>
      </c>
      <c r="AK447" s="36">
        <f t="shared" si="2"/>
        <v>0</v>
      </c>
      <c r="AL447" s="36">
        <f t="shared" si="3"/>
        <v>0</v>
      </c>
      <c r="AM447" s="36">
        <f t="shared" si="4"/>
        <v>0</v>
      </c>
      <c r="AN447" s="36">
        <f t="shared" si="5"/>
        <v>0</v>
      </c>
      <c r="AO447" s="36">
        <f t="shared" si="6"/>
        <v>0</v>
      </c>
      <c r="AP447" s="36">
        <f t="shared" si="7"/>
        <v>0</v>
      </c>
      <c r="AQ447" s="36">
        <f t="shared" si="8"/>
        <v>0</v>
      </c>
      <c r="AR447" s="36">
        <v>1.0</v>
      </c>
      <c r="AS447" s="36">
        <f t="shared" si="9"/>
        <v>0</v>
      </c>
      <c r="AT447" s="36">
        <v>2.0</v>
      </c>
      <c r="AU447" s="36">
        <f t="shared" si="10"/>
        <v>0</v>
      </c>
      <c r="AV447" s="36">
        <v>2.0</v>
      </c>
      <c r="AW447" s="37">
        <f t="shared" si="11"/>
        <v>0</v>
      </c>
      <c r="AX447" s="37">
        <f t="shared" si="12"/>
        <v>0</v>
      </c>
      <c r="AY447" s="36"/>
    </row>
    <row r="448" ht="15.75" customHeight="1">
      <c r="A448" s="38"/>
      <c r="B448" s="24"/>
      <c r="C448" s="31"/>
      <c r="D448" s="32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>
        <f t="shared" si="1"/>
        <v>0</v>
      </c>
      <c r="AK448" s="33">
        <f t="shared" si="2"/>
        <v>0</v>
      </c>
      <c r="AL448" s="33">
        <f t="shared" si="3"/>
        <v>0</v>
      </c>
      <c r="AM448" s="33">
        <f t="shared" si="4"/>
        <v>0</v>
      </c>
      <c r="AN448" s="33">
        <f t="shared" si="5"/>
        <v>0</v>
      </c>
      <c r="AO448" s="33">
        <f t="shared" si="6"/>
        <v>0</v>
      </c>
      <c r="AP448" s="33">
        <f t="shared" si="7"/>
        <v>0</v>
      </c>
      <c r="AQ448" s="33">
        <f t="shared" si="8"/>
        <v>0</v>
      </c>
      <c r="AR448" s="33">
        <v>1.0</v>
      </c>
      <c r="AS448" s="33">
        <f t="shared" si="9"/>
        <v>0</v>
      </c>
      <c r="AT448" s="33">
        <v>2.0</v>
      </c>
      <c r="AU448" s="33">
        <f t="shared" si="10"/>
        <v>0</v>
      </c>
      <c r="AV448" s="33">
        <v>2.0</v>
      </c>
      <c r="AW448" s="34">
        <f t="shared" si="11"/>
        <v>0</v>
      </c>
      <c r="AX448" s="34">
        <f t="shared" si="12"/>
        <v>0</v>
      </c>
      <c r="AY448" s="33"/>
    </row>
    <row r="449" ht="15.75" customHeight="1">
      <c r="A449" s="38"/>
      <c r="B449" s="18"/>
      <c r="C449" s="29"/>
      <c r="D449" s="3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>
        <f t="shared" si="1"/>
        <v>0</v>
      </c>
      <c r="AK449" s="36">
        <f t="shared" si="2"/>
        <v>0</v>
      </c>
      <c r="AL449" s="36">
        <f t="shared" si="3"/>
        <v>0</v>
      </c>
      <c r="AM449" s="36">
        <f t="shared" si="4"/>
        <v>0</v>
      </c>
      <c r="AN449" s="36">
        <f t="shared" si="5"/>
        <v>0</v>
      </c>
      <c r="AO449" s="36">
        <f t="shared" si="6"/>
        <v>0</v>
      </c>
      <c r="AP449" s="36">
        <f t="shared" si="7"/>
        <v>0</v>
      </c>
      <c r="AQ449" s="36">
        <f t="shared" si="8"/>
        <v>0</v>
      </c>
      <c r="AR449" s="36">
        <v>1.0</v>
      </c>
      <c r="AS449" s="36">
        <f t="shared" si="9"/>
        <v>0</v>
      </c>
      <c r="AT449" s="36">
        <v>2.0</v>
      </c>
      <c r="AU449" s="36">
        <f t="shared" si="10"/>
        <v>0</v>
      </c>
      <c r="AV449" s="36">
        <v>2.0</v>
      </c>
      <c r="AW449" s="37">
        <f t="shared" si="11"/>
        <v>0</v>
      </c>
      <c r="AX449" s="37">
        <f t="shared" si="12"/>
        <v>0</v>
      </c>
      <c r="AY449" s="36"/>
    </row>
    <row r="450" ht="15.75" customHeight="1">
      <c r="A450" s="38"/>
      <c r="B450" s="24"/>
      <c r="C450" s="31"/>
      <c r="D450" s="32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>
        <f t="shared" si="1"/>
        <v>0</v>
      </c>
      <c r="AK450" s="33">
        <f t="shared" si="2"/>
        <v>0</v>
      </c>
      <c r="AL450" s="33">
        <f t="shared" si="3"/>
        <v>0</v>
      </c>
      <c r="AM450" s="33">
        <f t="shared" si="4"/>
        <v>0</v>
      </c>
      <c r="AN450" s="33">
        <f t="shared" si="5"/>
        <v>0</v>
      </c>
      <c r="AO450" s="33">
        <f t="shared" si="6"/>
        <v>0</v>
      </c>
      <c r="AP450" s="33">
        <f t="shared" si="7"/>
        <v>0</v>
      </c>
      <c r="AQ450" s="33">
        <f t="shared" si="8"/>
        <v>0</v>
      </c>
      <c r="AR450" s="33">
        <v>1.0</v>
      </c>
      <c r="AS450" s="33">
        <f t="shared" si="9"/>
        <v>0</v>
      </c>
      <c r="AT450" s="33">
        <v>2.0</v>
      </c>
      <c r="AU450" s="33">
        <f t="shared" si="10"/>
        <v>0</v>
      </c>
      <c r="AV450" s="33">
        <v>2.0</v>
      </c>
      <c r="AW450" s="34">
        <f t="shared" si="11"/>
        <v>0</v>
      </c>
      <c r="AX450" s="34">
        <f t="shared" si="12"/>
        <v>0</v>
      </c>
      <c r="AY450" s="33"/>
    </row>
    <row r="451" ht="15.75" customHeight="1">
      <c r="A451" s="38"/>
      <c r="B451" s="18"/>
      <c r="C451" s="29"/>
      <c r="D451" s="3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>
        <f t="shared" si="1"/>
        <v>0</v>
      </c>
      <c r="AK451" s="36">
        <f t="shared" si="2"/>
        <v>0</v>
      </c>
      <c r="AL451" s="36">
        <f t="shared" si="3"/>
        <v>0</v>
      </c>
      <c r="AM451" s="36">
        <f t="shared" si="4"/>
        <v>0</v>
      </c>
      <c r="AN451" s="36">
        <f t="shared" si="5"/>
        <v>0</v>
      </c>
      <c r="AO451" s="36">
        <f t="shared" si="6"/>
        <v>0</v>
      </c>
      <c r="AP451" s="36">
        <f t="shared" si="7"/>
        <v>0</v>
      </c>
      <c r="AQ451" s="36">
        <f t="shared" si="8"/>
        <v>0</v>
      </c>
      <c r="AR451" s="36">
        <v>1.0</v>
      </c>
      <c r="AS451" s="36">
        <f t="shared" si="9"/>
        <v>0</v>
      </c>
      <c r="AT451" s="36">
        <v>2.0</v>
      </c>
      <c r="AU451" s="36">
        <f t="shared" si="10"/>
        <v>0</v>
      </c>
      <c r="AV451" s="36">
        <v>2.0</v>
      </c>
      <c r="AW451" s="37">
        <f t="shared" si="11"/>
        <v>0</v>
      </c>
      <c r="AX451" s="37">
        <f t="shared" si="12"/>
        <v>0</v>
      </c>
      <c r="AY451" s="36"/>
    </row>
    <row r="452" ht="15.75" customHeight="1">
      <c r="A452" s="38"/>
      <c r="B452" s="24"/>
      <c r="C452" s="31"/>
      <c r="D452" s="32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>
        <f t="shared" si="1"/>
        <v>0</v>
      </c>
      <c r="AK452" s="33">
        <f t="shared" si="2"/>
        <v>0</v>
      </c>
      <c r="AL452" s="33">
        <f t="shared" si="3"/>
        <v>0</v>
      </c>
      <c r="AM452" s="33">
        <f t="shared" si="4"/>
        <v>0</v>
      </c>
      <c r="AN452" s="33">
        <f t="shared" si="5"/>
        <v>0</v>
      </c>
      <c r="AO452" s="33">
        <f t="shared" si="6"/>
        <v>0</v>
      </c>
      <c r="AP452" s="33">
        <f t="shared" si="7"/>
        <v>0</v>
      </c>
      <c r="AQ452" s="33">
        <f t="shared" si="8"/>
        <v>0</v>
      </c>
      <c r="AR452" s="33">
        <v>1.0</v>
      </c>
      <c r="AS452" s="33">
        <f t="shared" si="9"/>
        <v>0</v>
      </c>
      <c r="AT452" s="33">
        <v>2.0</v>
      </c>
      <c r="AU452" s="33">
        <f t="shared" si="10"/>
        <v>0</v>
      </c>
      <c r="AV452" s="33">
        <v>2.0</v>
      </c>
      <c r="AW452" s="34">
        <f t="shared" si="11"/>
        <v>0</v>
      </c>
      <c r="AX452" s="34">
        <f t="shared" si="12"/>
        <v>0</v>
      </c>
      <c r="AY452" s="33"/>
    </row>
    <row r="453" ht="15.75" customHeight="1">
      <c r="A453" s="38"/>
      <c r="B453" s="18"/>
      <c r="C453" s="29"/>
      <c r="D453" s="3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>
        <f t="shared" si="1"/>
        <v>0</v>
      </c>
      <c r="AK453" s="36">
        <f t="shared" si="2"/>
        <v>0</v>
      </c>
      <c r="AL453" s="36">
        <f t="shared" si="3"/>
        <v>0</v>
      </c>
      <c r="AM453" s="36">
        <f t="shared" si="4"/>
        <v>0</v>
      </c>
      <c r="AN453" s="36">
        <f t="shared" si="5"/>
        <v>0</v>
      </c>
      <c r="AO453" s="36">
        <f t="shared" si="6"/>
        <v>0</v>
      </c>
      <c r="AP453" s="36">
        <f t="shared" si="7"/>
        <v>0</v>
      </c>
      <c r="AQ453" s="36">
        <f t="shared" si="8"/>
        <v>0</v>
      </c>
      <c r="AR453" s="36">
        <v>1.0</v>
      </c>
      <c r="AS453" s="36">
        <f t="shared" si="9"/>
        <v>0</v>
      </c>
      <c r="AT453" s="36">
        <v>2.0</v>
      </c>
      <c r="AU453" s="36">
        <f t="shared" si="10"/>
        <v>0</v>
      </c>
      <c r="AV453" s="36">
        <v>2.0</v>
      </c>
      <c r="AW453" s="37">
        <f t="shared" si="11"/>
        <v>0</v>
      </c>
      <c r="AX453" s="37">
        <f t="shared" si="12"/>
        <v>0</v>
      </c>
      <c r="AY453" s="36"/>
    </row>
    <row r="454" ht="15.75" customHeight="1">
      <c r="A454" s="38"/>
      <c r="B454" s="24"/>
      <c r="C454" s="31"/>
      <c r="D454" s="32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>
        <f t="shared" si="1"/>
        <v>0</v>
      </c>
      <c r="AK454" s="33">
        <f t="shared" si="2"/>
        <v>0</v>
      </c>
      <c r="AL454" s="33">
        <f t="shared" si="3"/>
        <v>0</v>
      </c>
      <c r="AM454" s="33">
        <f t="shared" si="4"/>
        <v>0</v>
      </c>
      <c r="AN454" s="33">
        <f t="shared" si="5"/>
        <v>0</v>
      </c>
      <c r="AO454" s="33">
        <f t="shared" si="6"/>
        <v>0</v>
      </c>
      <c r="AP454" s="33">
        <f t="shared" si="7"/>
        <v>0</v>
      </c>
      <c r="AQ454" s="33">
        <f t="shared" si="8"/>
        <v>0</v>
      </c>
      <c r="AR454" s="33">
        <v>1.0</v>
      </c>
      <c r="AS454" s="33">
        <f t="shared" si="9"/>
        <v>0</v>
      </c>
      <c r="AT454" s="33">
        <v>2.0</v>
      </c>
      <c r="AU454" s="33">
        <f t="shared" si="10"/>
        <v>0</v>
      </c>
      <c r="AV454" s="33">
        <v>2.0</v>
      </c>
      <c r="AW454" s="34">
        <f t="shared" si="11"/>
        <v>0</v>
      </c>
      <c r="AX454" s="34">
        <f t="shared" si="12"/>
        <v>0</v>
      </c>
      <c r="AY454" s="33"/>
    </row>
    <row r="455" ht="15.75" customHeight="1">
      <c r="A455" s="38"/>
      <c r="B455" s="18"/>
      <c r="C455" s="29"/>
      <c r="D455" s="3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>
        <f t="shared" si="1"/>
        <v>0</v>
      </c>
      <c r="AK455" s="36">
        <f t="shared" si="2"/>
        <v>0</v>
      </c>
      <c r="AL455" s="36">
        <f t="shared" si="3"/>
        <v>0</v>
      </c>
      <c r="AM455" s="36">
        <f t="shared" si="4"/>
        <v>0</v>
      </c>
      <c r="AN455" s="36">
        <f t="shared" si="5"/>
        <v>0</v>
      </c>
      <c r="AO455" s="36">
        <f t="shared" si="6"/>
        <v>0</v>
      </c>
      <c r="AP455" s="36">
        <f t="shared" si="7"/>
        <v>0</v>
      </c>
      <c r="AQ455" s="36">
        <f t="shared" si="8"/>
        <v>0</v>
      </c>
      <c r="AR455" s="36">
        <v>1.0</v>
      </c>
      <c r="AS455" s="36">
        <f t="shared" si="9"/>
        <v>0</v>
      </c>
      <c r="AT455" s="36">
        <v>2.0</v>
      </c>
      <c r="AU455" s="36">
        <f t="shared" si="10"/>
        <v>0</v>
      </c>
      <c r="AV455" s="36">
        <v>2.0</v>
      </c>
      <c r="AW455" s="37">
        <f t="shared" si="11"/>
        <v>0</v>
      </c>
      <c r="AX455" s="37">
        <f t="shared" si="12"/>
        <v>0</v>
      </c>
      <c r="AY455" s="36"/>
    </row>
    <row r="456" ht="15.75" customHeight="1">
      <c r="A456" s="38"/>
      <c r="B456" s="24"/>
      <c r="C456" s="31"/>
      <c r="D456" s="32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>
        <f t="shared" si="1"/>
        <v>0</v>
      </c>
      <c r="AK456" s="33">
        <f t="shared" si="2"/>
        <v>0</v>
      </c>
      <c r="AL456" s="33">
        <f t="shared" si="3"/>
        <v>0</v>
      </c>
      <c r="AM456" s="33">
        <f t="shared" si="4"/>
        <v>0</v>
      </c>
      <c r="AN456" s="33">
        <f t="shared" si="5"/>
        <v>0</v>
      </c>
      <c r="AO456" s="33">
        <f t="shared" si="6"/>
        <v>0</v>
      </c>
      <c r="AP456" s="33">
        <f t="shared" si="7"/>
        <v>0</v>
      </c>
      <c r="AQ456" s="33">
        <f t="shared" si="8"/>
        <v>0</v>
      </c>
      <c r="AR456" s="33">
        <v>1.0</v>
      </c>
      <c r="AS456" s="33">
        <f t="shared" si="9"/>
        <v>0</v>
      </c>
      <c r="AT456" s="33">
        <v>2.0</v>
      </c>
      <c r="AU456" s="33">
        <f t="shared" si="10"/>
        <v>0</v>
      </c>
      <c r="AV456" s="33">
        <v>2.0</v>
      </c>
      <c r="AW456" s="34">
        <f t="shared" si="11"/>
        <v>0</v>
      </c>
      <c r="AX456" s="34">
        <f t="shared" si="12"/>
        <v>0</v>
      </c>
      <c r="AY456" s="33"/>
    </row>
    <row r="457" ht="15.75" customHeight="1">
      <c r="A457" s="38"/>
      <c r="B457" s="18"/>
      <c r="C457" s="29"/>
      <c r="D457" s="3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>
        <f t="shared" si="1"/>
        <v>0</v>
      </c>
      <c r="AK457" s="36">
        <f t="shared" si="2"/>
        <v>0</v>
      </c>
      <c r="AL457" s="36">
        <f t="shared" si="3"/>
        <v>0</v>
      </c>
      <c r="AM457" s="36">
        <f t="shared" si="4"/>
        <v>0</v>
      </c>
      <c r="AN457" s="36">
        <f t="shared" si="5"/>
        <v>0</v>
      </c>
      <c r="AO457" s="36">
        <f t="shared" si="6"/>
        <v>0</v>
      </c>
      <c r="AP457" s="36">
        <f t="shared" si="7"/>
        <v>0</v>
      </c>
      <c r="AQ457" s="36">
        <f t="shared" si="8"/>
        <v>0</v>
      </c>
      <c r="AR457" s="36">
        <v>1.0</v>
      </c>
      <c r="AS457" s="36">
        <f t="shared" si="9"/>
        <v>0</v>
      </c>
      <c r="AT457" s="36">
        <v>2.0</v>
      </c>
      <c r="AU457" s="36">
        <f t="shared" si="10"/>
        <v>0</v>
      </c>
      <c r="AV457" s="36">
        <v>2.0</v>
      </c>
      <c r="AW457" s="37">
        <f t="shared" si="11"/>
        <v>0</v>
      </c>
      <c r="AX457" s="37">
        <f t="shared" si="12"/>
        <v>0</v>
      </c>
      <c r="AY457" s="36"/>
    </row>
    <row r="458" ht="15.75" customHeight="1">
      <c r="A458" s="38"/>
      <c r="B458" s="24"/>
      <c r="C458" s="31"/>
      <c r="D458" s="32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>
        <f t="shared" si="1"/>
        <v>0</v>
      </c>
      <c r="AK458" s="33">
        <f t="shared" si="2"/>
        <v>0</v>
      </c>
      <c r="AL458" s="33">
        <f t="shared" si="3"/>
        <v>0</v>
      </c>
      <c r="AM458" s="33">
        <f t="shared" si="4"/>
        <v>0</v>
      </c>
      <c r="AN458" s="33">
        <f t="shared" si="5"/>
        <v>0</v>
      </c>
      <c r="AO458" s="33">
        <f t="shared" si="6"/>
        <v>0</v>
      </c>
      <c r="AP458" s="33">
        <f t="shared" si="7"/>
        <v>0</v>
      </c>
      <c r="AQ458" s="33">
        <f t="shared" si="8"/>
        <v>0</v>
      </c>
      <c r="AR458" s="33">
        <v>1.0</v>
      </c>
      <c r="AS458" s="33">
        <f t="shared" si="9"/>
        <v>0</v>
      </c>
      <c r="AT458" s="33">
        <v>2.0</v>
      </c>
      <c r="AU458" s="33">
        <f t="shared" si="10"/>
        <v>0</v>
      </c>
      <c r="AV458" s="33">
        <v>2.0</v>
      </c>
      <c r="AW458" s="34">
        <f t="shared" si="11"/>
        <v>0</v>
      </c>
      <c r="AX458" s="34">
        <f t="shared" si="12"/>
        <v>0</v>
      </c>
      <c r="AY458" s="33"/>
    </row>
    <row r="459" ht="15.75" customHeight="1">
      <c r="A459" s="38"/>
      <c r="B459" s="18"/>
      <c r="C459" s="29"/>
      <c r="D459" s="3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>
        <f t="shared" si="1"/>
        <v>0</v>
      </c>
      <c r="AK459" s="36">
        <f t="shared" si="2"/>
        <v>0</v>
      </c>
      <c r="AL459" s="36">
        <f t="shared" si="3"/>
        <v>0</v>
      </c>
      <c r="AM459" s="36">
        <f t="shared" si="4"/>
        <v>0</v>
      </c>
      <c r="AN459" s="36">
        <f t="shared" si="5"/>
        <v>0</v>
      </c>
      <c r="AO459" s="36">
        <f t="shared" si="6"/>
        <v>0</v>
      </c>
      <c r="AP459" s="36">
        <f t="shared" si="7"/>
        <v>0</v>
      </c>
      <c r="AQ459" s="36">
        <f t="shared" si="8"/>
        <v>0</v>
      </c>
      <c r="AR459" s="36">
        <v>1.0</v>
      </c>
      <c r="AS459" s="36">
        <f t="shared" si="9"/>
        <v>0</v>
      </c>
      <c r="AT459" s="36">
        <v>2.0</v>
      </c>
      <c r="AU459" s="36">
        <f t="shared" si="10"/>
        <v>0</v>
      </c>
      <c r="AV459" s="36">
        <v>2.0</v>
      </c>
      <c r="AW459" s="37">
        <f t="shared" si="11"/>
        <v>0</v>
      </c>
      <c r="AX459" s="37">
        <f t="shared" si="12"/>
        <v>0</v>
      </c>
      <c r="AY459" s="36"/>
    </row>
    <row r="460" ht="15.75" customHeight="1">
      <c r="A460" s="38"/>
      <c r="B460" s="24"/>
      <c r="C460" s="31"/>
      <c r="D460" s="32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>
        <f t="shared" si="1"/>
        <v>0</v>
      </c>
      <c r="AK460" s="33">
        <f t="shared" si="2"/>
        <v>0</v>
      </c>
      <c r="AL460" s="33">
        <f t="shared" si="3"/>
        <v>0</v>
      </c>
      <c r="AM460" s="33">
        <f t="shared" si="4"/>
        <v>0</v>
      </c>
      <c r="AN460" s="33">
        <f t="shared" si="5"/>
        <v>0</v>
      </c>
      <c r="AO460" s="33">
        <f t="shared" si="6"/>
        <v>0</v>
      </c>
      <c r="AP460" s="33">
        <f t="shared" si="7"/>
        <v>0</v>
      </c>
      <c r="AQ460" s="33">
        <f t="shared" si="8"/>
        <v>0</v>
      </c>
      <c r="AR460" s="33">
        <v>1.0</v>
      </c>
      <c r="AS460" s="33">
        <f t="shared" si="9"/>
        <v>0</v>
      </c>
      <c r="AT460" s="33">
        <v>2.0</v>
      </c>
      <c r="AU460" s="33">
        <f t="shared" si="10"/>
        <v>0</v>
      </c>
      <c r="AV460" s="33">
        <v>2.0</v>
      </c>
      <c r="AW460" s="34">
        <f t="shared" si="11"/>
        <v>0</v>
      </c>
      <c r="AX460" s="34">
        <f t="shared" si="12"/>
        <v>0</v>
      </c>
      <c r="AY460" s="33"/>
    </row>
    <row r="461" ht="15.75" customHeight="1">
      <c r="A461" s="38"/>
      <c r="B461" s="18"/>
      <c r="C461" s="29"/>
      <c r="D461" s="3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>
        <f t="shared" si="1"/>
        <v>0</v>
      </c>
      <c r="AK461" s="36">
        <f t="shared" si="2"/>
        <v>0</v>
      </c>
      <c r="AL461" s="36">
        <f t="shared" si="3"/>
        <v>0</v>
      </c>
      <c r="AM461" s="36">
        <f t="shared" si="4"/>
        <v>0</v>
      </c>
      <c r="AN461" s="36">
        <f t="shared" si="5"/>
        <v>0</v>
      </c>
      <c r="AO461" s="36">
        <f t="shared" si="6"/>
        <v>0</v>
      </c>
      <c r="AP461" s="36">
        <f t="shared" si="7"/>
        <v>0</v>
      </c>
      <c r="AQ461" s="36">
        <f t="shared" si="8"/>
        <v>0</v>
      </c>
      <c r="AR461" s="36">
        <v>1.0</v>
      </c>
      <c r="AS461" s="36">
        <f t="shared" si="9"/>
        <v>0</v>
      </c>
      <c r="AT461" s="36">
        <v>2.0</v>
      </c>
      <c r="AU461" s="36">
        <f t="shared" si="10"/>
        <v>0</v>
      </c>
      <c r="AV461" s="36">
        <v>2.0</v>
      </c>
      <c r="AW461" s="37">
        <f t="shared" si="11"/>
        <v>0</v>
      </c>
      <c r="AX461" s="37">
        <f t="shared" si="12"/>
        <v>0</v>
      </c>
      <c r="AY461" s="36"/>
    </row>
    <row r="462" ht="15.75" customHeight="1">
      <c r="A462" s="38"/>
      <c r="B462" s="24"/>
      <c r="C462" s="31"/>
      <c r="D462" s="32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>
        <f t="shared" si="1"/>
        <v>0</v>
      </c>
      <c r="AK462" s="33">
        <f t="shared" si="2"/>
        <v>0</v>
      </c>
      <c r="AL462" s="33">
        <f t="shared" si="3"/>
        <v>0</v>
      </c>
      <c r="AM462" s="33">
        <f t="shared" si="4"/>
        <v>0</v>
      </c>
      <c r="AN462" s="33">
        <f t="shared" si="5"/>
        <v>0</v>
      </c>
      <c r="AO462" s="33">
        <f t="shared" si="6"/>
        <v>0</v>
      </c>
      <c r="AP462" s="33">
        <f t="shared" si="7"/>
        <v>0</v>
      </c>
      <c r="AQ462" s="33">
        <f t="shared" si="8"/>
        <v>0</v>
      </c>
      <c r="AR462" s="33">
        <v>1.0</v>
      </c>
      <c r="AS462" s="33">
        <f t="shared" si="9"/>
        <v>0</v>
      </c>
      <c r="AT462" s="33">
        <v>2.0</v>
      </c>
      <c r="AU462" s="33">
        <f t="shared" si="10"/>
        <v>0</v>
      </c>
      <c r="AV462" s="33">
        <v>2.0</v>
      </c>
      <c r="AW462" s="34">
        <f t="shared" si="11"/>
        <v>0</v>
      </c>
      <c r="AX462" s="34">
        <f t="shared" si="12"/>
        <v>0</v>
      </c>
      <c r="AY462" s="33"/>
    </row>
    <row r="463" ht="15.75" customHeight="1">
      <c r="A463" s="38"/>
      <c r="B463" s="18"/>
      <c r="C463" s="29"/>
      <c r="D463" s="3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>
        <f t="shared" si="1"/>
        <v>0</v>
      </c>
      <c r="AK463" s="36">
        <f t="shared" si="2"/>
        <v>0</v>
      </c>
      <c r="AL463" s="36">
        <f t="shared" si="3"/>
        <v>0</v>
      </c>
      <c r="AM463" s="36">
        <f t="shared" si="4"/>
        <v>0</v>
      </c>
      <c r="AN463" s="36">
        <f t="shared" si="5"/>
        <v>0</v>
      </c>
      <c r="AO463" s="36">
        <f t="shared" si="6"/>
        <v>0</v>
      </c>
      <c r="AP463" s="36">
        <f t="shared" si="7"/>
        <v>0</v>
      </c>
      <c r="AQ463" s="36">
        <f t="shared" si="8"/>
        <v>0</v>
      </c>
      <c r="AR463" s="36">
        <v>1.0</v>
      </c>
      <c r="AS463" s="36">
        <f t="shared" si="9"/>
        <v>0</v>
      </c>
      <c r="AT463" s="36">
        <v>2.0</v>
      </c>
      <c r="AU463" s="36">
        <f t="shared" si="10"/>
        <v>0</v>
      </c>
      <c r="AV463" s="36">
        <v>2.0</v>
      </c>
      <c r="AW463" s="37">
        <f t="shared" si="11"/>
        <v>0</v>
      </c>
      <c r="AX463" s="37">
        <f t="shared" si="12"/>
        <v>0</v>
      </c>
      <c r="AY463" s="36"/>
    </row>
    <row r="464" ht="15.75" customHeight="1">
      <c r="A464" s="38"/>
      <c r="B464" s="24"/>
      <c r="C464" s="31"/>
      <c r="D464" s="32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>
        <f t="shared" si="1"/>
        <v>0</v>
      </c>
      <c r="AK464" s="33">
        <f t="shared" si="2"/>
        <v>0</v>
      </c>
      <c r="AL464" s="33">
        <f t="shared" si="3"/>
        <v>0</v>
      </c>
      <c r="AM464" s="33">
        <f t="shared" si="4"/>
        <v>0</v>
      </c>
      <c r="AN464" s="33">
        <f t="shared" si="5"/>
        <v>0</v>
      </c>
      <c r="AO464" s="33">
        <f t="shared" si="6"/>
        <v>0</v>
      </c>
      <c r="AP464" s="33">
        <f t="shared" si="7"/>
        <v>0</v>
      </c>
      <c r="AQ464" s="33">
        <f t="shared" si="8"/>
        <v>0</v>
      </c>
      <c r="AR464" s="33">
        <v>1.0</v>
      </c>
      <c r="AS464" s="33">
        <f t="shared" si="9"/>
        <v>0</v>
      </c>
      <c r="AT464" s="33">
        <v>2.0</v>
      </c>
      <c r="AU464" s="33">
        <f t="shared" si="10"/>
        <v>0</v>
      </c>
      <c r="AV464" s="33">
        <v>2.0</v>
      </c>
      <c r="AW464" s="34">
        <f t="shared" si="11"/>
        <v>0</v>
      </c>
      <c r="AX464" s="34">
        <f t="shared" si="12"/>
        <v>0</v>
      </c>
      <c r="AY464" s="33"/>
    </row>
    <row r="465" ht="15.75" customHeight="1">
      <c r="A465" s="38"/>
      <c r="B465" s="18"/>
      <c r="C465" s="29"/>
      <c r="D465" s="3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>
        <f t="shared" si="1"/>
        <v>0</v>
      </c>
      <c r="AK465" s="36">
        <f t="shared" si="2"/>
        <v>0</v>
      </c>
      <c r="AL465" s="36">
        <f t="shared" si="3"/>
        <v>0</v>
      </c>
      <c r="AM465" s="36">
        <f t="shared" si="4"/>
        <v>0</v>
      </c>
      <c r="AN465" s="36">
        <f t="shared" si="5"/>
        <v>0</v>
      </c>
      <c r="AO465" s="36">
        <f t="shared" si="6"/>
        <v>0</v>
      </c>
      <c r="AP465" s="36">
        <f t="shared" si="7"/>
        <v>0</v>
      </c>
      <c r="AQ465" s="36">
        <f t="shared" si="8"/>
        <v>0</v>
      </c>
      <c r="AR465" s="36">
        <v>1.0</v>
      </c>
      <c r="AS465" s="36">
        <f t="shared" si="9"/>
        <v>0</v>
      </c>
      <c r="AT465" s="36">
        <v>2.0</v>
      </c>
      <c r="AU465" s="36">
        <f t="shared" si="10"/>
        <v>0</v>
      </c>
      <c r="AV465" s="36">
        <v>2.0</v>
      </c>
      <c r="AW465" s="37">
        <f t="shared" si="11"/>
        <v>0</v>
      </c>
      <c r="AX465" s="37">
        <f t="shared" si="12"/>
        <v>0</v>
      </c>
      <c r="AY465" s="36"/>
    </row>
    <row r="466" ht="15.75" customHeight="1">
      <c r="A466" s="38"/>
      <c r="B466" s="24"/>
      <c r="C466" s="31"/>
      <c r="D466" s="32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>
        <f t="shared" si="1"/>
        <v>0</v>
      </c>
      <c r="AK466" s="33">
        <f t="shared" si="2"/>
        <v>0</v>
      </c>
      <c r="AL466" s="33">
        <f t="shared" si="3"/>
        <v>0</v>
      </c>
      <c r="AM466" s="33">
        <f t="shared" si="4"/>
        <v>0</v>
      </c>
      <c r="AN466" s="33">
        <f t="shared" si="5"/>
        <v>0</v>
      </c>
      <c r="AO466" s="33">
        <f t="shared" si="6"/>
        <v>0</v>
      </c>
      <c r="AP466" s="33">
        <f t="shared" si="7"/>
        <v>0</v>
      </c>
      <c r="AQ466" s="33">
        <f t="shared" si="8"/>
        <v>0</v>
      </c>
      <c r="AR466" s="33">
        <v>1.0</v>
      </c>
      <c r="AS466" s="33">
        <f t="shared" si="9"/>
        <v>0</v>
      </c>
      <c r="AT466" s="33">
        <v>2.0</v>
      </c>
      <c r="AU466" s="33">
        <f t="shared" si="10"/>
        <v>0</v>
      </c>
      <c r="AV466" s="33">
        <v>2.0</v>
      </c>
      <c r="AW466" s="34">
        <f t="shared" si="11"/>
        <v>0</v>
      </c>
      <c r="AX466" s="34">
        <f t="shared" si="12"/>
        <v>0</v>
      </c>
      <c r="AY466" s="33"/>
    </row>
    <row r="467" ht="15.75" customHeight="1">
      <c r="A467" s="38"/>
      <c r="B467" s="18"/>
      <c r="C467" s="29"/>
      <c r="D467" s="3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>
        <f t="shared" si="1"/>
        <v>0</v>
      </c>
      <c r="AK467" s="36">
        <f t="shared" si="2"/>
        <v>0</v>
      </c>
      <c r="AL467" s="36">
        <f t="shared" si="3"/>
        <v>0</v>
      </c>
      <c r="AM467" s="36">
        <f t="shared" si="4"/>
        <v>0</v>
      </c>
      <c r="AN467" s="36">
        <f t="shared" si="5"/>
        <v>0</v>
      </c>
      <c r="AO467" s="36">
        <f t="shared" si="6"/>
        <v>0</v>
      </c>
      <c r="AP467" s="36">
        <f t="shared" si="7"/>
        <v>0</v>
      </c>
      <c r="AQ467" s="36">
        <f t="shared" si="8"/>
        <v>0</v>
      </c>
      <c r="AR467" s="36">
        <v>1.0</v>
      </c>
      <c r="AS467" s="36">
        <f t="shared" si="9"/>
        <v>0</v>
      </c>
      <c r="AT467" s="36">
        <v>2.0</v>
      </c>
      <c r="AU467" s="36">
        <f t="shared" si="10"/>
        <v>0</v>
      </c>
      <c r="AV467" s="36">
        <v>2.0</v>
      </c>
      <c r="AW467" s="37">
        <f t="shared" si="11"/>
        <v>0</v>
      </c>
      <c r="AX467" s="37">
        <f t="shared" si="12"/>
        <v>0</v>
      </c>
      <c r="AY467" s="36"/>
    </row>
    <row r="468" ht="15.75" customHeight="1">
      <c r="A468" s="38"/>
      <c r="B468" s="24"/>
      <c r="C468" s="31"/>
      <c r="D468" s="32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>
        <f t="shared" si="1"/>
        <v>0</v>
      </c>
      <c r="AK468" s="33">
        <f t="shared" si="2"/>
        <v>0</v>
      </c>
      <c r="AL468" s="33">
        <f t="shared" si="3"/>
        <v>0</v>
      </c>
      <c r="AM468" s="33">
        <f t="shared" si="4"/>
        <v>0</v>
      </c>
      <c r="AN468" s="33">
        <f t="shared" si="5"/>
        <v>0</v>
      </c>
      <c r="AO468" s="33">
        <f t="shared" si="6"/>
        <v>0</v>
      </c>
      <c r="AP468" s="33">
        <f t="shared" si="7"/>
        <v>0</v>
      </c>
      <c r="AQ468" s="33">
        <f t="shared" si="8"/>
        <v>0</v>
      </c>
      <c r="AR468" s="33">
        <v>1.0</v>
      </c>
      <c r="AS468" s="33">
        <f t="shared" si="9"/>
        <v>0</v>
      </c>
      <c r="AT468" s="33">
        <v>2.0</v>
      </c>
      <c r="AU468" s="33">
        <f t="shared" si="10"/>
        <v>0</v>
      </c>
      <c r="AV468" s="33">
        <v>2.0</v>
      </c>
      <c r="AW468" s="34">
        <f t="shared" si="11"/>
        <v>0</v>
      </c>
      <c r="AX468" s="34">
        <f t="shared" si="12"/>
        <v>0</v>
      </c>
      <c r="AY468" s="33"/>
    </row>
    <row r="469" ht="15.75" customHeight="1">
      <c r="A469" s="38"/>
      <c r="B469" s="18"/>
      <c r="C469" s="29"/>
      <c r="D469" s="3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>
        <f t="shared" si="1"/>
        <v>0</v>
      </c>
      <c r="AK469" s="36">
        <f t="shared" si="2"/>
        <v>0</v>
      </c>
      <c r="AL469" s="36">
        <f t="shared" si="3"/>
        <v>0</v>
      </c>
      <c r="AM469" s="36">
        <f t="shared" si="4"/>
        <v>0</v>
      </c>
      <c r="AN469" s="36">
        <f t="shared" si="5"/>
        <v>0</v>
      </c>
      <c r="AO469" s="36">
        <f t="shared" si="6"/>
        <v>0</v>
      </c>
      <c r="AP469" s="36">
        <f t="shared" si="7"/>
        <v>0</v>
      </c>
      <c r="AQ469" s="36">
        <f t="shared" si="8"/>
        <v>0</v>
      </c>
      <c r="AR469" s="36">
        <v>1.0</v>
      </c>
      <c r="AS469" s="36">
        <f t="shared" si="9"/>
        <v>0</v>
      </c>
      <c r="AT469" s="36">
        <v>2.0</v>
      </c>
      <c r="AU469" s="36">
        <f t="shared" si="10"/>
        <v>0</v>
      </c>
      <c r="AV469" s="36">
        <v>2.0</v>
      </c>
      <c r="AW469" s="37">
        <f t="shared" si="11"/>
        <v>0</v>
      </c>
      <c r="AX469" s="37">
        <f t="shared" si="12"/>
        <v>0</v>
      </c>
      <c r="AY469" s="36"/>
    </row>
    <row r="470" ht="15.75" customHeight="1">
      <c r="A470" s="38"/>
      <c r="B470" s="24"/>
      <c r="C470" s="31"/>
      <c r="D470" s="32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>
        <f t="shared" si="1"/>
        <v>0</v>
      </c>
      <c r="AK470" s="33">
        <f t="shared" si="2"/>
        <v>0</v>
      </c>
      <c r="AL470" s="33">
        <f t="shared" si="3"/>
        <v>0</v>
      </c>
      <c r="AM470" s="33">
        <f t="shared" si="4"/>
        <v>0</v>
      </c>
      <c r="AN470" s="33">
        <f t="shared" si="5"/>
        <v>0</v>
      </c>
      <c r="AO470" s="33">
        <f t="shared" si="6"/>
        <v>0</v>
      </c>
      <c r="AP470" s="33">
        <f t="shared" si="7"/>
        <v>0</v>
      </c>
      <c r="AQ470" s="33">
        <f t="shared" si="8"/>
        <v>0</v>
      </c>
      <c r="AR470" s="33">
        <v>1.0</v>
      </c>
      <c r="AS470" s="33">
        <f t="shared" si="9"/>
        <v>0</v>
      </c>
      <c r="AT470" s="33">
        <v>2.0</v>
      </c>
      <c r="AU470" s="33">
        <f t="shared" si="10"/>
        <v>0</v>
      </c>
      <c r="AV470" s="33">
        <v>2.0</v>
      </c>
      <c r="AW470" s="34">
        <f t="shared" si="11"/>
        <v>0</v>
      </c>
      <c r="AX470" s="34">
        <f t="shared" si="12"/>
        <v>0</v>
      </c>
      <c r="AY470" s="33"/>
    </row>
    <row r="471" ht="15.75" customHeight="1">
      <c r="A471" s="38"/>
      <c r="B471" s="18"/>
      <c r="C471" s="29"/>
      <c r="D471" s="3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>
        <f t="shared" si="1"/>
        <v>0</v>
      </c>
      <c r="AK471" s="36">
        <f t="shared" si="2"/>
        <v>0</v>
      </c>
      <c r="AL471" s="36">
        <f t="shared" si="3"/>
        <v>0</v>
      </c>
      <c r="AM471" s="36">
        <f t="shared" si="4"/>
        <v>0</v>
      </c>
      <c r="AN471" s="36">
        <f t="shared" si="5"/>
        <v>0</v>
      </c>
      <c r="AO471" s="36">
        <f t="shared" si="6"/>
        <v>0</v>
      </c>
      <c r="AP471" s="36">
        <f t="shared" si="7"/>
        <v>0</v>
      </c>
      <c r="AQ471" s="36">
        <f t="shared" si="8"/>
        <v>0</v>
      </c>
      <c r="AR471" s="36">
        <v>1.0</v>
      </c>
      <c r="AS471" s="36">
        <f t="shared" si="9"/>
        <v>0</v>
      </c>
      <c r="AT471" s="36">
        <v>2.0</v>
      </c>
      <c r="AU471" s="36">
        <f t="shared" si="10"/>
        <v>0</v>
      </c>
      <c r="AV471" s="36">
        <v>2.0</v>
      </c>
      <c r="AW471" s="37">
        <f t="shared" si="11"/>
        <v>0</v>
      </c>
      <c r="AX471" s="37">
        <f t="shared" si="12"/>
        <v>0</v>
      </c>
      <c r="AY471" s="36"/>
    </row>
    <row r="472" ht="15.75" customHeight="1">
      <c r="A472" s="38"/>
      <c r="B472" s="24"/>
      <c r="C472" s="31"/>
      <c r="D472" s="32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>
        <f t="shared" si="1"/>
        <v>0</v>
      </c>
      <c r="AK472" s="33">
        <f t="shared" si="2"/>
        <v>0</v>
      </c>
      <c r="AL472" s="33">
        <f t="shared" si="3"/>
        <v>0</v>
      </c>
      <c r="AM472" s="33">
        <f t="shared" si="4"/>
        <v>0</v>
      </c>
      <c r="AN472" s="33">
        <f t="shared" si="5"/>
        <v>0</v>
      </c>
      <c r="AO472" s="33">
        <f t="shared" si="6"/>
        <v>0</v>
      </c>
      <c r="AP472" s="33">
        <f t="shared" si="7"/>
        <v>0</v>
      </c>
      <c r="AQ472" s="33">
        <f t="shared" si="8"/>
        <v>0</v>
      </c>
      <c r="AR472" s="33">
        <v>1.0</v>
      </c>
      <c r="AS472" s="33">
        <f t="shared" si="9"/>
        <v>0</v>
      </c>
      <c r="AT472" s="33">
        <v>2.0</v>
      </c>
      <c r="AU472" s="33">
        <f t="shared" si="10"/>
        <v>0</v>
      </c>
      <c r="AV472" s="33">
        <v>2.0</v>
      </c>
      <c r="AW472" s="34">
        <f t="shared" si="11"/>
        <v>0</v>
      </c>
      <c r="AX472" s="34">
        <f t="shared" si="12"/>
        <v>0</v>
      </c>
      <c r="AY472" s="33"/>
    </row>
    <row r="473" ht="15.75" customHeight="1">
      <c r="A473" s="38"/>
      <c r="B473" s="18"/>
      <c r="C473" s="29"/>
      <c r="D473" s="3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>
        <f t="shared" si="1"/>
        <v>0</v>
      </c>
      <c r="AK473" s="36">
        <f t="shared" si="2"/>
        <v>0</v>
      </c>
      <c r="AL473" s="36">
        <f t="shared" si="3"/>
        <v>0</v>
      </c>
      <c r="AM473" s="36">
        <f t="shared" si="4"/>
        <v>0</v>
      </c>
      <c r="AN473" s="36">
        <f t="shared" si="5"/>
        <v>0</v>
      </c>
      <c r="AO473" s="36">
        <f t="shared" si="6"/>
        <v>0</v>
      </c>
      <c r="AP473" s="36">
        <f t="shared" si="7"/>
        <v>0</v>
      </c>
      <c r="AQ473" s="36">
        <f t="shared" si="8"/>
        <v>0</v>
      </c>
      <c r="AR473" s="36">
        <v>1.0</v>
      </c>
      <c r="AS473" s="36">
        <f t="shared" si="9"/>
        <v>0</v>
      </c>
      <c r="AT473" s="36">
        <v>2.0</v>
      </c>
      <c r="AU473" s="36">
        <f t="shared" si="10"/>
        <v>0</v>
      </c>
      <c r="AV473" s="36">
        <v>2.0</v>
      </c>
      <c r="AW473" s="37">
        <f t="shared" si="11"/>
        <v>0</v>
      </c>
      <c r="AX473" s="37">
        <f t="shared" si="12"/>
        <v>0</v>
      </c>
      <c r="AY473" s="36"/>
    </row>
    <row r="474" ht="15.75" customHeight="1">
      <c r="A474" s="38"/>
      <c r="B474" s="24"/>
      <c r="C474" s="31"/>
      <c r="D474" s="32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>
        <f t="shared" si="1"/>
        <v>0</v>
      </c>
      <c r="AK474" s="33">
        <f t="shared" si="2"/>
        <v>0</v>
      </c>
      <c r="AL474" s="33">
        <f t="shared" si="3"/>
        <v>0</v>
      </c>
      <c r="AM474" s="33">
        <f t="shared" si="4"/>
        <v>0</v>
      </c>
      <c r="AN474" s="33">
        <f t="shared" si="5"/>
        <v>0</v>
      </c>
      <c r="AO474" s="33">
        <f t="shared" si="6"/>
        <v>0</v>
      </c>
      <c r="AP474" s="33">
        <f t="shared" si="7"/>
        <v>0</v>
      </c>
      <c r="AQ474" s="33">
        <f t="shared" si="8"/>
        <v>0</v>
      </c>
      <c r="AR474" s="33">
        <v>1.0</v>
      </c>
      <c r="AS474" s="33">
        <f t="shared" si="9"/>
        <v>0</v>
      </c>
      <c r="AT474" s="33">
        <v>2.0</v>
      </c>
      <c r="AU474" s="33">
        <f t="shared" si="10"/>
        <v>0</v>
      </c>
      <c r="AV474" s="33">
        <v>2.0</v>
      </c>
      <c r="AW474" s="34">
        <f t="shared" si="11"/>
        <v>0</v>
      </c>
      <c r="AX474" s="34">
        <f t="shared" si="12"/>
        <v>0</v>
      </c>
      <c r="AY474" s="33"/>
    </row>
    <row r="475" ht="15.75" customHeight="1">
      <c r="A475" s="38"/>
      <c r="B475" s="18"/>
      <c r="C475" s="29"/>
      <c r="D475" s="3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>
        <f t="shared" si="1"/>
        <v>0</v>
      </c>
      <c r="AK475" s="36">
        <f t="shared" si="2"/>
        <v>0</v>
      </c>
      <c r="AL475" s="36">
        <f t="shared" si="3"/>
        <v>0</v>
      </c>
      <c r="AM475" s="36">
        <f t="shared" si="4"/>
        <v>0</v>
      </c>
      <c r="AN475" s="36">
        <f t="shared" si="5"/>
        <v>0</v>
      </c>
      <c r="AO475" s="36">
        <f t="shared" si="6"/>
        <v>0</v>
      </c>
      <c r="AP475" s="36">
        <f t="shared" si="7"/>
        <v>0</v>
      </c>
      <c r="AQ475" s="36">
        <f t="shared" si="8"/>
        <v>0</v>
      </c>
      <c r="AR475" s="36">
        <v>1.0</v>
      </c>
      <c r="AS475" s="36">
        <f t="shared" si="9"/>
        <v>0</v>
      </c>
      <c r="AT475" s="36">
        <v>2.0</v>
      </c>
      <c r="AU475" s="36">
        <f t="shared" si="10"/>
        <v>0</v>
      </c>
      <c r="AV475" s="36">
        <v>2.0</v>
      </c>
      <c r="AW475" s="37">
        <f t="shared" si="11"/>
        <v>0</v>
      </c>
      <c r="AX475" s="37">
        <f t="shared" si="12"/>
        <v>0</v>
      </c>
      <c r="AY475" s="36"/>
    </row>
    <row r="476" ht="15.75" customHeight="1">
      <c r="A476" s="38"/>
      <c r="B476" s="24"/>
      <c r="C476" s="31"/>
      <c r="D476" s="32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>
        <f t="shared" si="1"/>
        <v>0</v>
      </c>
      <c r="AK476" s="33">
        <f t="shared" si="2"/>
        <v>0</v>
      </c>
      <c r="AL476" s="33">
        <f t="shared" si="3"/>
        <v>0</v>
      </c>
      <c r="AM476" s="33">
        <f t="shared" si="4"/>
        <v>0</v>
      </c>
      <c r="AN476" s="33">
        <f t="shared" si="5"/>
        <v>0</v>
      </c>
      <c r="AO476" s="33">
        <f t="shared" si="6"/>
        <v>0</v>
      </c>
      <c r="AP476" s="33">
        <f t="shared" si="7"/>
        <v>0</v>
      </c>
      <c r="AQ476" s="33">
        <f t="shared" si="8"/>
        <v>0</v>
      </c>
      <c r="AR476" s="33">
        <v>1.0</v>
      </c>
      <c r="AS476" s="33">
        <f t="shared" si="9"/>
        <v>0</v>
      </c>
      <c r="AT476" s="33">
        <v>2.0</v>
      </c>
      <c r="AU476" s="33">
        <f t="shared" si="10"/>
        <v>0</v>
      </c>
      <c r="AV476" s="33">
        <v>2.0</v>
      </c>
      <c r="AW476" s="34">
        <f t="shared" si="11"/>
        <v>0</v>
      </c>
      <c r="AX476" s="34">
        <f t="shared" si="12"/>
        <v>0</v>
      </c>
      <c r="AY476" s="33"/>
    </row>
    <row r="477" ht="15.75" customHeight="1">
      <c r="A477" s="38"/>
      <c r="B477" s="18"/>
      <c r="C477" s="29"/>
      <c r="D477" s="3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>
        <f t="shared" si="1"/>
        <v>0</v>
      </c>
      <c r="AK477" s="36">
        <f t="shared" si="2"/>
        <v>0</v>
      </c>
      <c r="AL477" s="36">
        <f t="shared" si="3"/>
        <v>0</v>
      </c>
      <c r="AM477" s="36">
        <f t="shared" si="4"/>
        <v>0</v>
      </c>
      <c r="AN477" s="36">
        <f t="shared" si="5"/>
        <v>0</v>
      </c>
      <c r="AO477" s="36">
        <f t="shared" si="6"/>
        <v>0</v>
      </c>
      <c r="AP477" s="36">
        <f t="shared" si="7"/>
        <v>0</v>
      </c>
      <c r="AQ477" s="36">
        <f t="shared" si="8"/>
        <v>0</v>
      </c>
      <c r="AR477" s="36">
        <v>1.0</v>
      </c>
      <c r="AS477" s="36">
        <f t="shared" si="9"/>
        <v>0</v>
      </c>
      <c r="AT477" s="36">
        <v>2.0</v>
      </c>
      <c r="AU477" s="36">
        <f t="shared" si="10"/>
        <v>0</v>
      </c>
      <c r="AV477" s="36">
        <v>2.0</v>
      </c>
      <c r="AW477" s="37">
        <f t="shared" si="11"/>
        <v>0</v>
      </c>
      <c r="AX477" s="37">
        <f t="shared" si="12"/>
        <v>0</v>
      </c>
      <c r="AY477" s="36"/>
    </row>
    <row r="478" ht="15.75" customHeight="1">
      <c r="A478" s="38"/>
      <c r="B478" s="24"/>
      <c r="C478" s="31"/>
      <c r="D478" s="32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>
        <f t="shared" si="1"/>
        <v>0</v>
      </c>
      <c r="AK478" s="33">
        <f t="shared" si="2"/>
        <v>0</v>
      </c>
      <c r="AL478" s="33">
        <f t="shared" si="3"/>
        <v>0</v>
      </c>
      <c r="AM478" s="33">
        <f t="shared" si="4"/>
        <v>0</v>
      </c>
      <c r="AN478" s="33">
        <f t="shared" si="5"/>
        <v>0</v>
      </c>
      <c r="AO478" s="33">
        <f t="shared" si="6"/>
        <v>0</v>
      </c>
      <c r="AP478" s="33">
        <f t="shared" si="7"/>
        <v>0</v>
      </c>
      <c r="AQ478" s="33">
        <f t="shared" si="8"/>
        <v>0</v>
      </c>
      <c r="AR478" s="33">
        <v>1.0</v>
      </c>
      <c r="AS478" s="33">
        <f t="shared" si="9"/>
        <v>0</v>
      </c>
      <c r="AT478" s="33">
        <v>2.0</v>
      </c>
      <c r="AU478" s="33">
        <f t="shared" si="10"/>
        <v>0</v>
      </c>
      <c r="AV478" s="33">
        <v>2.0</v>
      </c>
      <c r="AW478" s="34">
        <f t="shared" si="11"/>
        <v>0</v>
      </c>
      <c r="AX478" s="34">
        <f t="shared" si="12"/>
        <v>0</v>
      </c>
      <c r="AY478" s="33"/>
    </row>
    <row r="479" ht="15.75" customHeight="1">
      <c r="A479" s="38"/>
      <c r="B479" s="18"/>
      <c r="C479" s="29"/>
      <c r="D479" s="3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>
        <f t="shared" si="1"/>
        <v>0</v>
      </c>
      <c r="AK479" s="36">
        <f t="shared" si="2"/>
        <v>0</v>
      </c>
      <c r="AL479" s="36">
        <f t="shared" si="3"/>
        <v>0</v>
      </c>
      <c r="AM479" s="36">
        <f t="shared" si="4"/>
        <v>0</v>
      </c>
      <c r="AN479" s="36">
        <f t="shared" si="5"/>
        <v>0</v>
      </c>
      <c r="AO479" s="36">
        <f t="shared" si="6"/>
        <v>0</v>
      </c>
      <c r="AP479" s="36">
        <f t="shared" si="7"/>
        <v>0</v>
      </c>
      <c r="AQ479" s="36">
        <f t="shared" si="8"/>
        <v>0</v>
      </c>
      <c r="AR479" s="36">
        <v>1.0</v>
      </c>
      <c r="AS479" s="36">
        <f t="shared" si="9"/>
        <v>0</v>
      </c>
      <c r="AT479" s="36">
        <v>2.0</v>
      </c>
      <c r="AU479" s="36">
        <f t="shared" si="10"/>
        <v>0</v>
      </c>
      <c r="AV479" s="36">
        <v>2.0</v>
      </c>
      <c r="AW479" s="37">
        <f t="shared" si="11"/>
        <v>0</v>
      </c>
      <c r="AX479" s="37">
        <f t="shared" si="12"/>
        <v>0</v>
      </c>
      <c r="AY479" s="36"/>
    </row>
    <row r="480" ht="15.75" customHeight="1">
      <c r="A480" s="38"/>
      <c r="B480" s="24"/>
      <c r="C480" s="31"/>
      <c r="D480" s="32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>
        <f t="shared" si="1"/>
        <v>0</v>
      </c>
      <c r="AK480" s="33">
        <f t="shared" si="2"/>
        <v>0</v>
      </c>
      <c r="AL480" s="33">
        <f t="shared" si="3"/>
        <v>0</v>
      </c>
      <c r="AM480" s="33">
        <f t="shared" si="4"/>
        <v>0</v>
      </c>
      <c r="AN480" s="33">
        <f t="shared" si="5"/>
        <v>0</v>
      </c>
      <c r="AO480" s="33">
        <f t="shared" si="6"/>
        <v>0</v>
      </c>
      <c r="AP480" s="33">
        <f t="shared" si="7"/>
        <v>0</v>
      </c>
      <c r="AQ480" s="33">
        <f t="shared" si="8"/>
        <v>0</v>
      </c>
      <c r="AR480" s="33">
        <v>1.0</v>
      </c>
      <c r="AS480" s="33">
        <f t="shared" si="9"/>
        <v>0</v>
      </c>
      <c r="AT480" s="33">
        <v>2.0</v>
      </c>
      <c r="AU480" s="33">
        <f t="shared" si="10"/>
        <v>0</v>
      </c>
      <c r="AV480" s="33">
        <v>2.0</v>
      </c>
      <c r="AW480" s="34">
        <f t="shared" si="11"/>
        <v>0</v>
      </c>
      <c r="AX480" s="34">
        <f t="shared" si="12"/>
        <v>0</v>
      </c>
      <c r="AY480" s="33"/>
    </row>
    <row r="481" ht="15.75" customHeight="1">
      <c r="A481" s="38"/>
      <c r="B481" s="18"/>
      <c r="C481" s="29"/>
      <c r="D481" s="3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>
        <f t="shared" si="1"/>
        <v>0</v>
      </c>
      <c r="AK481" s="36">
        <f t="shared" si="2"/>
        <v>0</v>
      </c>
      <c r="AL481" s="36">
        <f t="shared" si="3"/>
        <v>0</v>
      </c>
      <c r="AM481" s="36">
        <f t="shared" si="4"/>
        <v>0</v>
      </c>
      <c r="AN481" s="36">
        <f t="shared" si="5"/>
        <v>0</v>
      </c>
      <c r="AO481" s="36">
        <f t="shared" si="6"/>
        <v>0</v>
      </c>
      <c r="AP481" s="36">
        <f t="shared" si="7"/>
        <v>0</v>
      </c>
      <c r="AQ481" s="36">
        <f t="shared" si="8"/>
        <v>0</v>
      </c>
      <c r="AR481" s="36">
        <v>1.0</v>
      </c>
      <c r="AS481" s="36">
        <f t="shared" si="9"/>
        <v>0</v>
      </c>
      <c r="AT481" s="36">
        <v>2.0</v>
      </c>
      <c r="AU481" s="36">
        <f t="shared" si="10"/>
        <v>0</v>
      </c>
      <c r="AV481" s="36">
        <v>2.0</v>
      </c>
      <c r="AW481" s="37">
        <f t="shared" si="11"/>
        <v>0</v>
      </c>
      <c r="AX481" s="37">
        <f t="shared" si="12"/>
        <v>0</v>
      </c>
      <c r="AY481" s="36"/>
    </row>
    <row r="482" ht="15.75" customHeight="1">
      <c r="A482" s="38"/>
      <c r="B482" s="24"/>
      <c r="C482" s="31"/>
      <c r="D482" s="32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>
        <f t="shared" si="1"/>
        <v>0</v>
      </c>
      <c r="AK482" s="33">
        <f t="shared" si="2"/>
        <v>0</v>
      </c>
      <c r="AL482" s="33">
        <f t="shared" si="3"/>
        <v>0</v>
      </c>
      <c r="AM482" s="33">
        <f t="shared" si="4"/>
        <v>0</v>
      </c>
      <c r="AN482" s="33">
        <f t="shared" si="5"/>
        <v>0</v>
      </c>
      <c r="AO482" s="33">
        <f t="shared" si="6"/>
        <v>0</v>
      </c>
      <c r="AP482" s="33">
        <f t="shared" si="7"/>
        <v>0</v>
      </c>
      <c r="AQ482" s="33">
        <f t="shared" si="8"/>
        <v>0</v>
      </c>
      <c r="AR482" s="33">
        <v>1.0</v>
      </c>
      <c r="AS482" s="33">
        <f t="shared" si="9"/>
        <v>0</v>
      </c>
      <c r="AT482" s="33">
        <v>2.0</v>
      </c>
      <c r="AU482" s="33">
        <f t="shared" si="10"/>
        <v>0</v>
      </c>
      <c r="AV482" s="33">
        <v>2.0</v>
      </c>
      <c r="AW482" s="34">
        <f t="shared" si="11"/>
        <v>0</v>
      </c>
      <c r="AX482" s="34">
        <f t="shared" si="12"/>
        <v>0</v>
      </c>
      <c r="AY482" s="33"/>
    </row>
    <row r="483" ht="15.75" customHeight="1">
      <c r="A483" s="38"/>
      <c r="B483" s="18"/>
      <c r="C483" s="29"/>
      <c r="D483" s="3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>
        <f t="shared" si="1"/>
        <v>0</v>
      </c>
      <c r="AK483" s="36">
        <f t="shared" si="2"/>
        <v>0</v>
      </c>
      <c r="AL483" s="36">
        <f t="shared" si="3"/>
        <v>0</v>
      </c>
      <c r="AM483" s="36">
        <f t="shared" si="4"/>
        <v>0</v>
      </c>
      <c r="AN483" s="36">
        <f t="shared" si="5"/>
        <v>0</v>
      </c>
      <c r="AO483" s="36">
        <f t="shared" si="6"/>
        <v>0</v>
      </c>
      <c r="AP483" s="36">
        <f t="shared" si="7"/>
        <v>0</v>
      </c>
      <c r="AQ483" s="36">
        <f t="shared" si="8"/>
        <v>0</v>
      </c>
      <c r="AR483" s="36">
        <v>1.0</v>
      </c>
      <c r="AS483" s="36">
        <f t="shared" si="9"/>
        <v>0</v>
      </c>
      <c r="AT483" s="36">
        <v>2.0</v>
      </c>
      <c r="AU483" s="36">
        <f t="shared" si="10"/>
        <v>0</v>
      </c>
      <c r="AV483" s="36">
        <v>2.0</v>
      </c>
      <c r="AW483" s="37">
        <f t="shared" si="11"/>
        <v>0</v>
      </c>
      <c r="AX483" s="37">
        <f t="shared" si="12"/>
        <v>0</v>
      </c>
      <c r="AY483" s="36"/>
    </row>
    <row r="484" ht="15.75" customHeight="1">
      <c r="A484" s="38"/>
      <c r="B484" s="24"/>
      <c r="C484" s="31"/>
      <c r="D484" s="32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>
        <f t="shared" si="1"/>
        <v>0</v>
      </c>
      <c r="AK484" s="33">
        <f t="shared" si="2"/>
        <v>0</v>
      </c>
      <c r="AL484" s="33">
        <f t="shared" si="3"/>
        <v>0</v>
      </c>
      <c r="AM484" s="33">
        <f t="shared" si="4"/>
        <v>0</v>
      </c>
      <c r="AN484" s="33">
        <f t="shared" si="5"/>
        <v>0</v>
      </c>
      <c r="AO484" s="33">
        <f t="shared" si="6"/>
        <v>0</v>
      </c>
      <c r="AP484" s="33">
        <f t="shared" si="7"/>
        <v>0</v>
      </c>
      <c r="AQ484" s="33">
        <f t="shared" si="8"/>
        <v>0</v>
      </c>
      <c r="AR484" s="33">
        <v>1.0</v>
      </c>
      <c r="AS484" s="33">
        <f t="shared" si="9"/>
        <v>0</v>
      </c>
      <c r="AT484" s="33">
        <v>2.0</v>
      </c>
      <c r="AU484" s="33">
        <f t="shared" si="10"/>
        <v>0</v>
      </c>
      <c r="AV484" s="33">
        <v>2.0</v>
      </c>
      <c r="AW484" s="34">
        <f t="shared" si="11"/>
        <v>0</v>
      </c>
      <c r="AX484" s="34">
        <f t="shared" si="12"/>
        <v>0</v>
      </c>
      <c r="AY484" s="33"/>
    </row>
    <row r="485" ht="15.75" customHeight="1">
      <c r="A485" s="38"/>
      <c r="B485" s="18"/>
      <c r="C485" s="29"/>
      <c r="D485" s="3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>
        <f t="shared" si="1"/>
        <v>0</v>
      </c>
      <c r="AK485" s="36">
        <f t="shared" si="2"/>
        <v>0</v>
      </c>
      <c r="AL485" s="36">
        <f t="shared" si="3"/>
        <v>0</v>
      </c>
      <c r="AM485" s="36">
        <f t="shared" si="4"/>
        <v>0</v>
      </c>
      <c r="AN485" s="36">
        <f t="shared" si="5"/>
        <v>0</v>
      </c>
      <c r="AO485" s="36">
        <f t="shared" si="6"/>
        <v>0</v>
      </c>
      <c r="AP485" s="36">
        <f t="shared" si="7"/>
        <v>0</v>
      </c>
      <c r="AQ485" s="36">
        <f t="shared" si="8"/>
        <v>0</v>
      </c>
      <c r="AR485" s="36">
        <v>1.0</v>
      </c>
      <c r="AS485" s="36">
        <f t="shared" si="9"/>
        <v>0</v>
      </c>
      <c r="AT485" s="36">
        <v>2.0</v>
      </c>
      <c r="AU485" s="36">
        <f t="shared" si="10"/>
        <v>0</v>
      </c>
      <c r="AV485" s="36">
        <v>2.0</v>
      </c>
      <c r="AW485" s="37">
        <f t="shared" si="11"/>
        <v>0</v>
      </c>
      <c r="AX485" s="37">
        <f t="shared" si="12"/>
        <v>0</v>
      </c>
      <c r="AY485" s="36"/>
    </row>
    <row r="486" ht="15.75" customHeight="1">
      <c r="A486" s="38"/>
      <c r="B486" s="24"/>
      <c r="C486" s="31"/>
      <c r="D486" s="32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>
        <f t="shared" si="1"/>
        <v>0</v>
      </c>
      <c r="AK486" s="33">
        <f t="shared" si="2"/>
        <v>0</v>
      </c>
      <c r="AL486" s="33">
        <f t="shared" si="3"/>
        <v>0</v>
      </c>
      <c r="AM486" s="33">
        <f t="shared" si="4"/>
        <v>0</v>
      </c>
      <c r="AN486" s="33">
        <f t="shared" si="5"/>
        <v>0</v>
      </c>
      <c r="AO486" s="33">
        <f t="shared" si="6"/>
        <v>0</v>
      </c>
      <c r="AP486" s="33">
        <f t="shared" si="7"/>
        <v>0</v>
      </c>
      <c r="AQ486" s="33">
        <f t="shared" si="8"/>
        <v>0</v>
      </c>
      <c r="AR486" s="33">
        <v>1.0</v>
      </c>
      <c r="AS486" s="33">
        <f t="shared" si="9"/>
        <v>0</v>
      </c>
      <c r="AT486" s="33">
        <v>2.0</v>
      </c>
      <c r="AU486" s="33">
        <f t="shared" si="10"/>
        <v>0</v>
      </c>
      <c r="AV486" s="33">
        <v>2.0</v>
      </c>
      <c r="AW486" s="34">
        <f t="shared" si="11"/>
        <v>0</v>
      </c>
      <c r="AX486" s="34">
        <f t="shared" si="12"/>
        <v>0</v>
      </c>
      <c r="AY486" s="33"/>
    </row>
    <row r="487" ht="15.75" customHeight="1">
      <c r="A487" s="38"/>
      <c r="B487" s="18"/>
      <c r="C487" s="29"/>
      <c r="D487" s="3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>
        <f t="shared" si="1"/>
        <v>0</v>
      </c>
      <c r="AK487" s="36">
        <f t="shared" si="2"/>
        <v>0</v>
      </c>
      <c r="AL487" s="36">
        <f t="shared" si="3"/>
        <v>0</v>
      </c>
      <c r="AM487" s="36">
        <f t="shared" si="4"/>
        <v>0</v>
      </c>
      <c r="AN487" s="36">
        <f t="shared" si="5"/>
        <v>0</v>
      </c>
      <c r="AO487" s="36">
        <f t="shared" si="6"/>
        <v>0</v>
      </c>
      <c r="AP487" s="36">
        <f t="shared" si="7"/>
        <v>0</v>
      </c>
      <c r="AQ487" s="36">
        <f t="shared" si="8"/>
        <v>0</v>
      </c>
      <c r="AR487" s="36">
        <v>1.0</v>
      </c>
      <c r="AS487" s="36">
        <f t="shared" si="9"/>
        <v>0</v>
      </c>
      <c r="AT487" s="36">
        <v>2.0</v>
      </c>
      <c r="AU487" s="36">
        <f t="shared" si="10"/>
        <v>0</v>
      </c>
      <c r="AV487" s="36">
        <v>2.0</v>
      </c>
      <c r="AW487" s="37">
        <f t="shared" si="11"/>
        <v>0</v>
      </c>
      <c r="AX487" s="37">
        <f t="shared" si="12"/>
        <v>0</v>
      </c>
      <c r="AY487" s="36"/>
    </row>
    <row r="488" ht="15.75" customHeight="1">
      <c r="A488" s="38"/>
      <c r="B488" s="24"/>
      <c r="C488" s="31"/>
      <c r="D488" s="32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>
        <f t="shared" si="1"/>
        <v>0</v>
      </c>
      <c r="AK488" s="33">
        <f t="shared" si="2"/>
        <v>0</v>
      </c>
      <c r="AL488" s="33">
        <f t="shared" si="3"/>
        <v>0</v>
      </c>
      <c r="AM488" s="33">
        <f t="shared" si="4"/>
        <v>0</v>
      </c>
      <c r="AN488" s="33">
        <f t="shared" si="5"/>
        <v>0</v>
      </c>
      <c r="AO488" s="33">
        <f t="shared" si="6"/>
        <v>0</v>
      </c>
      <c r="AP488" s="33">
        <f t="shared" si="7"/>
        <v>0</v>
      </c>
      <c r="AQ488" s="33">
        <f t="shared" si="8"/>
        <v>0</v>
      </c>
      <c r="AR488" s="33">
        <v>1.0</v>
      </c>
      <c r="AS488" s="33">
        <f t="shared" si="9"/>
        <v>0</v>
      </c>
      <c r="AT488" s="33">
        <v>2.0</v>
      </c>
      <c r="AU488" s="33">
        <f t="shared" si="10"/>
        <v>0</v>
      </c>
      <c r="AV488" s="33">
        <v>2.0</v>
      </c>
      <c r="AW488" s="34">
        <f t="shared" si="11"/>
        <v>0</v>
      </c>
      <c r="AX488" s="34">
        <f t="shared" si="12"/>
        <v>0</v>
      </c>
      <c r="AY488" s="33"/>
    </row>
    <row r="489" ht="15.75" customHeight="1">
      <c r="A489" s="38"/>
      <c r="B489" s="18"/>
      <c r="C489" s="29"/>
      <c r="D489" s="3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>
        <f t="shared" si="1"/>
        <v>0</v>
      </c>
      <c r="AK489" s="36">
        <f t="shared" si="2"/>
        <v>0</v>
      </c>
      <c r="AL489" s="36">
        <f t="shared" si="3"/>
        <v>0</v>
      </c>
      <c r="AM489" s="36">
        <f t="shared" si="4"/>
        <v>0</v>
      </c>
      <c r="AN489" s="36">
        <f t="shared" si="5"/>
        <v>0</v>
      </c>
      <c r="AO489" s="36">
        <f t="shared" si="6"/>
        <v>0</v>
      </c>
      <c r="AP489" s="36">
        <f t="shared" si="7"/>
        <v>0</v>
      </c>
      <c r="AQ489" s="36">
        <f t="shared" si="8"/>
        <v>0</v>
      </c>
      <c r="AR489" s="36">
        <v>1.0</v>
      </c>
      <c r="AS489" s="36">
        <f t="shared" si="9"/>
        <v>0</v>
      </c>
      <c r="AT489" s="36">
        <v>2.0</v>
      </c>
      <c r="AU489" s="36">
        <f t="shared" si="10"/>
        <v>0</v>
      </c>
      <c r="AV489" s="36">
        <v>2.0</v>
      </c>
      <c r="AW489" s="37">
        <f t="shared" si="11"/>
        <v>0</v>
      </c>
      <c r="AX489" s="37">
        <f t="shared" si="12"/>
        <v>0</v>
      </c>
      <c r="AY489" s="36"/>
    </row>
    <row r="490" ht="15.75" customHeight="1">
      <c r="A490" s="38"/>
      <c r="B490" s="24"/>
      <c r="C490" s="31"/>
      <c r="D490" s="32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>
        <f t="shared" si="1"/>
        <v>0</v>
      </c>
      <c r="AK490" s="33">
        <f t="shared" si="2"/>
        <v>0</v>
      </c>
      <c r="AL490" s="33">
        <f t="shared" si="3"/>
        <v>0</v>
      </c>
      <c r="AM490" s="33">
        <f t="shared" si="4"/>
        <v>0</v>
      </c>
      <c r="AN490" s="33">
        <f t="shared" si="5"/>
        <v>0</v>
      </c>
      <c r="AO490" s="33">
        <f t="shared" si="6"/>
        <v>0</v>
      </c>
      <c r="AP490" s="33">
        <f t="shared" si="7"/>
        <v>0</v>
      </c>
      <c r="AQ490" s="33">
        <f t="shared" si="8"/>
        <v>0</v>
      </c>
      <c r="AR490" s="33">
        <v>1.0</v>
      </c>
      <c r="AS490" s="33">
        <f t="shared" si="9"/>
        <v>0</v>
      </c>
      <c r="AT490" s="33">
        <v>2.0</v>
      </c>
      <c r="AU490" s="33">
        <f t="shared" si="10"/>
        <v>0</v>
      </c>
      <c r="AV490" s="33">
        <v>2.0</v>
      </c>
      <c r="AW490" s="34">
        <f t="shared" si="11"/>
        <v>0</v>
      </c>
      <c r="AX490" s="34">
        <f t="shared" si="12"/>
        <v>0</v>
      </c>
      <c r="AY490" s="33"/>
    </row>
    <row r="491" ht="15.75" customHeight="1">
      <c r="A491" s="38"/>
      <c r="B491" s="18"/>
      <c r="C491" s="29"/>
      <c r="D491" s="3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>
        <f t="shared" si="1"/>
        <v>0</v>
      </c>
      <c r="AK491" s="36">
        <f t="shared" si="2"/>
        <v>0</v>
      </c>
      <c r="AL491" s="36">
        <f t="shared" si="3"/>
        <v>0</v>
      </c>
      <c r="AM491" s="36">
        <f t="shared" si="4"/>
        <v>0</v>
      </c>
      <c r="AN491" s="36">
        <f t="shared" si="5"/>
        <v>0</v>
      </c>
      <c r="AO491" s="36">
        <f t="shared" si="6"/>
        <v>0</v>
      </c>
      <c r="AP491" s="36">
        <f t="shared" si="7"/>
        <v>0</v>
      </c>
      <c r="AQ491" s="36">
        <f t="shared" si="8"/>
        <v>0</v>
      </c>
      <c r="AR491" s="36">
        <v>1.0</v>
      </c>
      <c r="AS491" s="36">
        <f t="shared" si="9"/>
        <v>0</v>
      </c>
      <c r="AT491" s="36">
        <v>2.0</v>
      </c>
      <c r="AU491" s="36">
        <f t="shared" si="10"/>
        <v>0</v>
      </c>
      <c r="AV491" s="36">
        <v>2.0</v>
      </c>
      <c r="AW491" s="37">
        <f t="shared" si="11"/>
        <v>0</v>
      </c>
      <c r="AX491" s="37">
        <f t="shared" si="12"/>
        <v>0</v>
      </c>
      <c r="AY491" s="36"/>
    </row>
    <row r="492" ht="15.75" customHeight="1">
      <c r="A492" s="38"/>
      <c r="B492" s="24"/>
      <c r="C492" s="31"/>
      <c r="D492" s="32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>
        <f t="shared" si="1"/>
        <v>0</v>
      </c>
      <c r="AK492" s="33">
        <f t="shared" si="2"/>
        <v>0</v>
      </c>
      <c r="AL492" s="33">
        <f t="shared" si="3"/>
        <v>0</v>
      </c>
      <c r="AM492" s="33">
        <f t="shared" si="4"/>
        <v>0</v>
      </c>
      <c r="AN492" s="33">
        <f t="shared" si="5"/>
        <v>0</v>
      </c>
      <c r="AO492" s="33">
        <f t="shared" si="6"/>
        <v>0</v>
      </c>
      <c r="AP492" s="33">
        <f t="shared" si="7"/>
        <v>0</v>
      </c>
      <c r="AQ492" s="33">
        <f t="shared" si="8"/>
        <v>0</v>
      </c>
      <c r="AR492" s="33">
        <v>1.0</v>
      </c>
      <c r="AS492" s="33">
        <f t="shared" si="9"/>
        <v>0</v>
      </c>
      <c r="AT492" s="33">
        <v>2.0</v>
      </c>
      <c r="AU492" s="33">
        <f t="shared" si="10"/>
        <v>0</v>
      </c>
      <c r="AV492" s="33">
        <v>2.0</v>
      </c>
      <c r="AW492" s="34">
        <f t="shared" si="11"/>
        <v>0</v>
      </c>
      <c r="AX492" s="34">
        <f t="shared" si="12"/>
        <v>0</v>
      </c>
      <c r="AY492" s="33"/>
    </row>
    <row r="493" ht="15.75" customHeight="1">
      <c r="A493" s="38"/>
      <c r="B493" s="18"/>
      <c r="C493" s="29"/>
      <c r="D493" s="3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>
        <f t="shared" si="1"/>
        <v>0</v>
      </c>
      <c r="AK493" s="36">
        <f t="shared" si="2"/>
        <v>0</v>
      </c>
      <c r="AL493" s="36">
        <f t="shared" si="3"/>
        <v>0</v>
      </c>
      <c r="AM493" s="36">
        <f t="shared" si="4"/>
        <v>0</v>
      </c>
      <c r="AN493" s="36">
        <f t="shared" si="5"/>
        <v>0</v>
      </c>
      <c r="AO493" s="36">
        <f t="shared" si="6"/>
        <v>0</v>
      </c>
      <c r="AP493" s="36">
        <f t="shared" si="7"/>
        <v>0</v>
      </c>
      <c r="AQ493" s="36">
        <f t="shared" si="8"/>
        <v>0</v>
      </c>
      <c r="AR493" s="36">
        <v>1.0</v>
      </c>
      <c r="AS493" s="36">
        <f t="shared" si="9"/>
        <v>0</v>
      </c>
      <c r="AT493" s="36">
        <v>2.0</v>
      </c>
      <c r="AU493" s="36">
        <f t="shared" si="10"/>
        <v>0</v>
      </c>
      <c r="AV493" s="36">
        <v>2.0</v>
      </c>
      <c r="AW493" s="37">
        <f t="shared" si="11"/>
        <v>0</v>
      </c>
      <c r="AX493" s="37">
        <f t="shared" si="12"/>
        <v>0</v>
      </c>
      <c r="AY493" s="36"/>
    </row>
    <row r="494" ht="15.75" customHeight="1">
      <c r="A494" s="38"/>
      <c r="B494" s="24"/>
      <c r="C494" s="31"/>
      <c r="D494" s="32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>
        <f t="shared" si="1"/>
        <v>0</v>
      </c>
      <c r="AK494" s="33">
        <f t="shared" si="2"/>
        <v>0</v>
      </c>
      <c r="AL494" s="33">
        <f t="shared" si="3"/>
        <v>0</v>
      </c>
      <c r="AM494" s="33">
        <f t="shared" si="4"/>
        <v>0</v>
      </c>
      <c r="AN494" s="33">
        <f t="shared" si="5"/>
        <v>0</v>
      </c>
      <c r="AO494" s="33">
        <f t="shared" si="6"/>
        <v>0</v>
      </c>
      <c r="AP494" s="33">
        <f t="shared" si="7"/>
        <v>0</v>
      </c>
      <c r="AQ494" s="33">
        <f t="shared" si="8"/>
        <v>0</v>
      </c>
      <c r="AR494" s="33">
        <v>1.0</v>
      </c>
      <c r="AS494" s="33">
        <f t="shared" si="9"/>
        <v>0</v>
      </c>
      <c r="AT494" s="33">
        <v>2.0</v>
      </c>
      <c r="AU494" s="33">
        <f t="shared" si="10"/>
        <v>0</v>
      </c>
      <c r="AV494" s="33">
        <v>2.0</v>
      </c>
      <c r="AW494" s="34">
        <f t="shared" si="11"/>
        <v>0</v>
      </c>
      <c r="AX494" s="34">
        <f t="shared" si="12"/>
        <v>0</v>
      </c>
      <c r="AY494" s="33"/>
    </row>
    <row r="495" ht="15.75" customHeight="1">
      <c r="A495" s="38"/>
      <c r="B495" s="18"/>
      <c r="C495" s="29"/>
      <c r="D495" s="3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>
        <f t="shared" si="1"/>
        <v>0</v>
      </c>
      <c r="AK495" s="36">
        <f t="shared" si="2"/>
        <v>0</v>
      </c>
      <c r="AL495" s="36">
        <f t="shared" si="3"/>
        <v>0</v>
      </c>
      <c r="AM495" s="36">
        <f t="shared" si="4"/>
        <v>0</v>
      </c>
      <c r="AN495" s="36">
        <f t="shared" si="5"/>
        <v>0</v>
      </c>
      <c r="AO495" s="36">
        <f t="shared" si="6"/>
        <v>0</v>
      </c>
      <c r="AP495" s="36">
        <f t="shared" si="7"/>
        <v>0</v>
      </c>
      <c r="AQ495" s="36">
        <f t="shared" si="8"/>
        <v>0</v>
      </c>
      <c r="AR495" s="36">
        <v>1.0</v>
      </c>
      <c r="AS495" s="36">
        <f t="shared" si="9"/>
        <v>0</v>
      </c>
      <c r="AT495" s="36">
        <v>2.0</v>
      </c>
      <c r="AU495" s="36">
        <f t="shared" si="10"/>
        <v>0</v>
      </c>
      <c r="AV495" s="36">
        <v>2.0</v>
      </c>
      <c r="AW495" s="37">
        <f t="shared" si="11"/>
        <v>0</v>
      </c>
      <c r="AX495" s="37">
        <f t="shared" si="12"/>
        <v>0</v>
      </c>
      <c r="AY495" s="36"/>
    </row>
    <row r="496" ht="15.75" customHeight="1">
      <c r="A496" s="38"/>
      <c r="B496" s="24"/>
      <c r="C496" s="31"/>
      <c r="D496" s="32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>
        <f t="shared" si="1"/>
        <v>0</v>
      </c>
      <c r="AK496" s="33">
        <f t="shared" si="2"/>
        <v>0</v>
      </c>
      <c r="AL496" s="33">
        <f t="shared" si="3"/>
        <v>0</v>
      </c>
      <c r="AM496" s="33">
        <f t="shared" si="4"/>
        <v>0</v>
      </c>
      <c r="AN496" s="33">
        <f t="shared" si="5"/>
        <v>0</v>
      </c>
      <c r="AO496" s="33">
        <f t="shared" si="6"/>
        <v>0</v>
      </c>
      <c r="AP496" s="33">
        <f t="shared" si="7"/>
        <v>0</v>
      </c>
      <c r="AQ496" s="33">
        <f t="shared" si="8"/>
        <v>0</v>
      </c>
      <c r="AR496" s="33">
        <v>1.0</v>
      </c>
      <c r="AS496" s="33">
        <f t="shared" si="9"/>
        <v>0</v>
      </c>
      <c r="AT496" s="33">
        <v>2.0</v>
      </c>
      <c r="AU496" s="33">
        <f t="shared" si="10"/>
        <v>0</v>
      </c>
      <c r="AV496" s="33">
        <v>2.0</v>
      </c>
      <c r="AW496" s="34">
        <f t="shared" si="11"/>
        <v>0</v>
      </c>
      <c r="AX496" s="34">
        <f t="shared" si="12"/>
        <v>0</v>
      </c>
      <c r="AY496" s="33"/>
    </row>
    <row r="497" ht="15.75" customHeight="1">
      <c r="A497" s="38"/>
      <c r="B497" s="18"/>
      <c r="C497" s="29"/>
      <c r="D497" s="3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>
        <f t="shared" si="1"/>
        <v>0</v>
      </c>
      <c r="AK497" s="36">
        <f t="shared" si="2"/>
        <v>0</v>
      </c>
      <c r="AL497" s="36">
        <f t="shared" si="3"/>
        <v>0</v>
      </c>
      <c r="AM497" s="36">
        <f t="shared" si="4"/>
        <v>0</v>
      </c>
      <c r="AN497" s="36">
        <f t="shared" si="5"/>
        <v>0</v>
      </c>
      <c r="AO497" s="36">
        <f t="shared" si="6"/>
        <v>0</v>
      </c>
      <c r="AP497" s="36">
        <f t="shared" si="7"/>
        <v>0</v>
      </c>
      <c r="AQ497" s="36">
        <f t="shared" si="8"/>
        <v>0</v>
      </c>
      <c r="AR497" s="36">
        <v>1.0</v>
      </c>
      <c r="AS497" s="36">
        <f t="shared" si="9"/>
        <v>0</v>
      </c>
      <c r="AT497" s="36">
        <v>2.0</v>
      </c>
      <c r="AU497" s="36">
        <f t="shared" si="10"/>
        <v>0</v>
      </c>
      <c r="AV497" s="36">
        <v>2.0</v>
      </c>
      <c r="AW497" s="37">
        <f t="shared" si="11"/>
        <v>0</v>
      </c>
      <c r="AX497" s="37">
        <f t="shared" si="12"/>
        <v>0</v>
      </c>
      <c r="AY497" s="36"/>
    </row>
    <row r="498" ht="15.75" customHeight="1">
      <c r="A498" s="38"/>
      <c r="B498" s="24"/>
      <c r="C498" s="31"/>
      <c r="D498" s="32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>
        <f t="shared" si="1"/>
        <v>0</v>
      </c>
      <c r="AK498" s="33">
        <f t="shared" si="2"/>
        <v>0</v>
      </c>
      <c r="AL498" s="33">
        <f t="shared" si="3"/>
        <v>0</v>
      </c>
      <c r="AM498" s="33">
        <f t="shared" si="4"/>
        <v>0</v>
      </c>
      <c r="AN498" s="33">
        <f t="shared" si="5"/>
        <v>0</v>
      </c>
      <c r="AO498" s="33">
        <f t="shared" si="6"/>
        <v>0</v>
      </c>
      <c r="AP498" s="33">
        <f t="shared" si="7"/>
        <v>0</v>
      </c>
      <c r="AQ498" s="33">
        <f t="shared" si="8"/>
        <v>0</v>
      </c>
      <c r="AR498" s="33">
        <v>1.0</v>
      </c>
      <c r="AS498" s="33">
        <f t="shared" si="9"/>
        <v>0</v>
      </c>
      <c r="AT498" s="33">
        <v>2.0</v>
      </c>
      <c r="AU498" s="33">
        <f t="shared" si="10"/>
        <v>0</v>
      </c>
      <c r="AV498" s="33">
        <v>2.0</v>
      </c>
      <c r="AW498" s="34">
        <f t="shared" si="11"/>
        <v>0</v>
      </c>
      <c r="AX498" s="34">
        <f t="shared" si="12"/>
        <v>0</v>
      </c>
      <c r="AY498" s="33"/>
    </row>
    <row r="499" ht="15.75" customHeight="1">
      <c r="A499" s="38"/>
      <c r="B499" s="18"/>
      <c r="C499" s="29"/>
      <c r="D499" s="3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>
        <f t="shared" si="1"/>
        <v>0</v>
      </c>
      <c r="AK499" s="36">
        <f t="shared" si="2"/>
        <v>0</v>
      </c>
      <c r="AL499" s="36">
        <f t="shared" si="3"/>
        <v>0</v>
      </c>
      <c r="AM499" s="36">
        <f t="shared" si="4"/>
        <v>0</v>
      </c>
      <c r="AN499" s="36">
        <f t="shared" si="5"/>
        <v>0</v>
      </c>
      <c r="AO499" s="36">
        <f t="shared" si="6"/>
        <v>0</v>
      </c>
      <c r="AP499" s="36">
        <f t="shared" si="7"/>
        <v>0</v>
      </c>
      <c r="AQ499" s="36">
        <f t="shared" si="8"/>
        <v>0</v>
      </c>
      <c r="AR499" s="36">
        <v>1.0</v>
      </c>
      <c r="AS499" s="36">
        <f t="shared" si="9"/>
        <v>0</v>
      </c>
      <c r="AT499" s="36">
        <v>2.0</v>
      </c>
      <c r="AU499" s="36">
        <f t="shared" si="10"/>
        <v>0</v>
      </c>
      <c r="AV499" s="36">
        <v>2.0</v>
      </c>
      <c r="AW499" s="37">
        <f t="shared" si="11"/>
        <v>0</v>
      </c>
      <c r="AX499" s="37">
        <f t="shared" si="12"/>
        <v>0</v>
      </c>
      <c r="AY499" s="36"/>
    </row>
    <row r="500" ht="15.75" customHeight="1">
      <c r="A500" s="38"/>
      <c r="B500" s="24"/>
      <c r="C500" s="31"/>
      <c r="D500" s="32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>
        <f t="shared" si="1"/>
        <v>0</v>
      </c>
      <c r="AK500" s="33">
        <f t="shared" si="2"/>
        <v>0</v>
      </c>
      <c r="AL500" s="33">
        <f t="shared" si="3"/>
        <v>0</v>
      </c>
      <c r="AM500" s="33">
        <f t="shared" si="4"/>
        <v>0</v>
      </c>
      <c r="AN500" s="33">
        <f t="shared" si="5"/>
        <v>0</v>
      </c>
      <c r="AO500" s="33">
        <f t="shared" si="6"/>
        <v>0</v>
      </c>
      <c r="AP500" s="33">
        <f t="shared" si="7"/>
        <v>0</v>
      </c>
      <c r="AQ500" s="33">
        <f t="shared" si="8"/>
        <v>0</v>
      </c>
      <c r="AR500" s="33">
        <v>1.0</v>
      </c>
      <c r="AS500" s="33">
        <f t="shared" si="9"/>
        <v>0</v>
      </c>
      <c r="AT500" s="33">
        <v>2.0</v>
      </c>
      <c r="AU500" s="33">
        <f t="shared" si="10"/>
        <v>0</v>
      </c>
      <c r="AV500" s="33">
        <v>2.0</v>
      </c>
      <c r="AW500" s="34">
        <f t="shared" si="11"/>
        <v>0</v>
      </c>
      <c r="AX500" s="34">
        <f t="shared" si="12"/>
        <v>0</v>
      </c>
      <c r="AY500" s="33"/>
    </row>
    <row r="501" ht="15.75" customHeight="1">
      <c r="A501" s="38"/>
      <c r="B501" s="18"/>
      <c r="C501" s="29"/>
      <c r="D501" s="3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>
        <f t="shared" si="1"/>
        <v>0</v>
      </c>
      <c r="AK501" s="36">
        <f t="shared" si="2"/>
        <v>0</v>
      </c>
      <c r="AL501" s="36">
        <f t="shared" si="3"/>
        <v>0</v>
      </c>
      <c r="AM501" s="36">
        <f t="shared" si="4"/>
        <v>0</v>
      </c>
      <c r="AN501" s="36">
        <f t="shared" si="5"/>
        <v>0</v>
      </c>
      <c r="AO501" s="36">
        <f t="shared" si="6"/>
        <v>0</v>
      </c>
      <c r="AP501" s="36">
        <f t="shared" si="7"/>
        <v>0</v>
      </c>
      <c r="AQ501" s="36">
        <f t="shared" si="8"/>
        <v>0</v>
      </c>
      <c r="AR501" s="36">
        <v>1.0</v>
      </c>
      <c r="AS501" s="36">
        <f t="shared" si="9"/>
        <v>0</v>
      </c>
      <c r="AT501" s="36">
        <v>2.0</v>
      </c>
      <c r="AU501" s="36">
        <f t="shared" si="10"/>
        <v>0</v>
      </c>
      <c r="AV501" s="36">
        <v>2.0</v>
      </c>
      <c r="AW501" s="37">
        <f t="shared" si="11"/>
        <v>0</v>
      </c>
      <c r="AX501" s="37">
        <f t="shared" si="12"/>
        <v>0</v>
      </c>
      <c r="AY501" s="36"/>
    </row>
    <row r="502" ht="15.75" customHeight="1">
      <c r="A502" s="38"/>
      <c r="B502" s="24"/>
      <c r="C502" s="31"/>
      <c r="D502" s="32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>
        <f t="shared" si="1"/>
        <v>0</v>
      </c>
      <c r="AK502" s="33">
        <f t="shared" si="2"/>
        <v>0</v>
      </c>
      <c r="AL502" s="33">
        <f t="shared" si="3"/>
        <v>0</v>
      </c>
      <c r="AM502" s="33">
        <f t="shared" si="4"/>
        <v>0</v>
      </c>
      <c r="AN502" s="33">
        <f t="shared" si="5"/>
        <v>0</v>
      </c>
      <c r="AO502" s="33">
        <f t="shared" si="6"/>
        <v>0</v>
      </c>
      <c r="AP502" s="33">
        <f t="shared" si="7"/>
        <v>0</v>
      </c>
      <c r="AQ502" s="33">
        <f t="shared" si="8"/>
        <v>0</v>
      </c>
      <c r="AR502" s="33">
        <v>1.0</v>
      </c>
      <c r="AS502" s="33">
        <f t="shared" si="9"/>
        <v>0</v>
      </c>
      <c r="AT502" s="33">
        <v>2.0</v>
      </c>
      <c r="AU502" s="33">
        <f t="shared" si="10"/>
        <v>0</v>
      </c>
      <c r="AV502" s="33">
        <v>2.0</v>
      </c>
      <c r="AW502" s="34">
        <f t="shared" si="11"/>
        <v>0</v>
      </c>
      <c r="AX502" s="34">
        <f t="shared" si="12"/>
        <v>0</v>
      </c>
      <c r="AY502" s="33"/>
    </row>
    <row r="503" ht="15.75" customHeight="1">
      <c r="A503" s="38"/>
      <c r="B503" s="18"/>
      <c r="C503" s="29"/>
      <c r="D503" s="3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>
        <f t="shared" si="1"/>
        <v>0</v>
      </c>
      <c r="AK503" s="36">
        <f t="shared" si="2"/>
        <v>0</v>
      </c>
      <c r="AL503" s="36">
        <f t="shared" si="3"/>
        <v>0</v>
      </c>
      <c r="AM503" s="36">
        <f t="shared" si="4"/>
        <v>0</v>
      </c>
      <c r="AN503" s="36">
        <f t="shared" si="5"/>
        <v>0</v>
      </c>
      <c r="AO503" s="36">
        <f t="shared" si="6"/>
        <v>0</v>
      </c>
      <c r="AP503" s="36">
        <f t="shared" si="7"/>
        <v>0</v>
      </c>
      <c r="AQ503" s="36">
        <f t="shared" si="8"/>
        <v>0</v>
      </c>
      <c r="AR503" s="36">
        <v>1.0</v>
      </c>
      <c r="AS503" s="36">
        <f t="shared" si="9"/>
        <v>0</v>
      </c>
      <c r="AT503" s="36">
        <v>2.0</v>
      </c>
      <c r="AU503" s="36">
        <f t="shared" si="10"/>
        <v>0</v>
      </c>
      <c r="AV503" s="36">
        <v>2.0</v>
      </c>
      <c r="AW503" s="37">
        <f t="shared" si="11"/>
        <v>0</v>
      </c>
      <c r="AX503" s="37">
        <f t="shared" si="12"/>
        <v>0</v>
      </c>
      <c r="AY503" s="36"/>
    </row>
    <row r="504" ht="15.75" customHeight="1">
      <c r="A504" s="38"/>
      <c r="B504" s="24"/>
      <c r="C504" s="31"/>
      <c r="D504" s="32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>
        <f t="shared" si="1"/>
        <v>0</v>
      </c>
      <c r="AK504" s="33">
        <f t="shared" si="2"/>
        <v>0</v>
      </c>
      <c r="AL504" s="33">
        <f t="shared" si="3"/>
        <v>0</v>
      </c>
      <c r="AM504" s="33">
        <f t="shared" si="4"/>
        <v>0</v>
      </c>
      <c r="AN504" s="33">
        <f t="shared" si="5"/>
        <v>0</v>
      </c>
      <c r="AO504" s="33">
        <f t="shared" si="6"/>
        <v>0</v>
      </c>
      <c r="AP504" s="33">
        <f t="shared" si="7"/>
        <v>0</v>
      </c>
      <c r="AQ504" s="33">
        <f t="shared" si="8"/>
        <v>0</v>
      </c>
      <c r="AR504" s="33">
        <v>1.0</v>
      </c>
      <c r="AS504" s="33">
        <f t="shared" si="9"/>
        <v>0</v>
      </c>
      <c r="AT504" s="33">
        <v>2.0</v>
      </c>
      <c r="AU504" s="33">
        <f t="shared" si="10"/>
        <v>0</v>
      </c>
      <c r="AV504" s="33">
        <v>2.0</v>
      </c>
      <c r="AW504" s="34">
        <f t="shared" si="11"/>
        <v>0</v>
      </c>
      <c r="AX504" s="34">
        <f t="shared" si="12"/>
        <v>0</v>
      </c>
      <c r="AY504" s="33"/>
    </row>
    <row r="505" ht="15.75" customHeight="1">
      <c r="A505" s="38"/>
      <c r="B505" s="18"/>
      <c r="C505" s="29"/>
      <c r="D505" s="3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>
        <f t="shared" si="1"/>
        <v>0</v>
      </c>
      <c r="AK505" s="36">
        <f t="shared" si="2"/>
        <v>0</v>
      </c>
      <c r="AL505" s="36">
        <f t="shared" si="3"/>
        <v>0</v>
      </c>
      <c r="AM505" s="36">
        <f t="shared" si="4"/>
        <v>0</v>
      </c>
      <c r="AN505" s="36">
        <f t="shared" si="5"/>
        <v>0</v>
      </c>
      <c r="AO505" s="36">
        <f t="shared" si="6"/>
        <v>0</v>
      </c>
      <c r="AP505" s="36">
        <f t="shared" si="7"/>
        <v>0</v>
      </c>
      <c r="AQ505" s="36">
        <f t="shared" si="8"/>
        <v>0</v>
      </c>
      <c r="AR505" s="36">
        <v>1.0</v>
      </c>
      <c r="AS505" s="36">
        <f t="shared" si="9"/>
        <v>0</v>
      </c>
      <c r="AT505" s="36">
        <v>2.0</v>
      </c>
      <c r="AU505" s="36">
        <f t="shared" si="10"/>
        <v>0</v>
      </c>
      <c r="AV505" s="36">
        <v>2.0</v>
      </c>
      <c r="AW505" s="37">
        <f t="shared" si="11"/>
        <v>0</v>
      </c>
      <c r="AX505" s="37">
        <f t="shared" si="12"/>
        <v>0</v>
      </c>
      <c r="AY505" s="36"/>
    </row>
    <row r="506" ht="15.75" customHeight="1">
      <c r="A506" s="38"/>
      <c r="B506" s="24"/>
      <c r="C506" s="31"/>
      <c r="D506" s="32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>
        <f t="shared" si="1"/>
        <v>0</v>
      </c>
      <c r="AK506" s="33">
        <f t="shared" si="2"/>
        <v>0</v>
      </c>
      <c r="AL506" s="33">
        <f t="shared" si="3"/>
        <v>0</v>
      </c>
      <c r="AM506" s="33">
        <f t="shared" si="4"/>
        <v>0</v>
      </c>
      <c r="AN506" s="33">
        <f t="shared" si="5"/>
        <v>0</v>
      </c>
      <c r="AO506" s="33">
        <f t="shared" si="6"/>
        <v>0</v>
      </c>
      <c r="AP506" s="33">
        <f t="shared" si="7"/>
        <v>0</v>
      </c>
      <c r="AQ506" s="33">
        <f t="shared" si="8"/>
        <v>0</v>
      </c>
      <c r="AR506" s="33">
        <v>1.0</v>
      </c>
      <c r="AS506" s="33">
        <f t="shared" si="9"/>
        <v>0</v>
      </c>
      <c r="AT506" s="33">
        <v>2.0</v>
      </c>
      <c r="AU506" s="33">
        <f t="shared" si="10"/>
        <v>0</v>
      </c>
      <c r="AV506" s="33">
        <v>2.0</v>
      </c>
      <c r="AW506" s="34">
        <f t="shared" si="11"/>
        <v>0</v>
      </c>
      <c r="AX506" s="34">
        <f t="shared" si="12"/>
        <v>0</v>
      </c>
      <c r="AY506" s="33"/>
    </row>
    <row r="507" ht="15.75" customHeight="1">
      <c r="A507" s="38"/>
      <c r="B507" s="18"/>
      <c r="C507" s="29"/>
      <c r="D507" s="3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>
        <f t="shared" si="1"/>
        <v>0</v>
      </c>
      <c r="AK507" s="36">
        <f t="shared" si="2"/>
        <v>0</v>
      </c>
      <c r="AL507" s="36">
        <f t="shared" si="3"/>
        <v>0</v>
      </c>
      <c r="AM507" s="36">
        <f t="shared" si="4"/>
        <v>0</v>
      </c>
      <c r="AN507" s="36">
        <f t="shared" si="5"/>
        <v>0</v>
      </c>
      <c r="AO507" s="36">
        <f t="shared" si="6"/>
        <v>0</v>
      </c>
      <c r="AP507" s="36">
        <f t="shared" si="7"/>
        <v>0</v>
      </c>
      <c r="AQ507" s="36">
        <f t="shared" si="8"/>
        <v>0</v>
      </c>
      <c r="AR507" s="36">
        <v>1.0</v>
      </c>
      <c r="AS507" s="36">
        <f t="shared" si="9"/>
        <v>0</v>
      </c>
      <c r="AT507" s="36">
        <v>2.0</v>
      </c>
      <c r="AU507" s="36">
        <f t="shared" si="10"/>
        <v>0</v>
      </c>
      <c r="AV507" s="36">
        <v>2.0</v>
      </c>
      <c r="AW507" s="37">
        <f t="shared" si="11"/>
        <v>0</v>
      </c>
      <c r="AX507" s="37">
        <f t="shared" si="12"/>
        <v>0</v>
      </c>
      <c r="AY507" s="36"/>
    </row>
    <row r="508" ht="15.75" customHeight="1">
      <c r="A508" s="38"/>
      <c r="B508" s="24"/>
      <c r="C508" s="31"/>
      <c r="D508" s="32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>
        <f t="shared" si="1"/>
        <v>0</v>
      </c>
      <c r="AK508" s="33">
        <f t="shared" si="2"/>
        <v>0</v>
      </c>
      <c r="AL508" s="33">
        <f t="shared" si="3"/>
        <v>0</v>
      </c>
      <c r="AM508" s="33">
        <f t="shared" si="4"/>
        <v>0</v>
      </c>
      <c r="AN508" s="33">
        <f t="shared" si="5"/>
        <v>0</v>
      </c>
      <c r="AO508" s="33">
        <f t="shared" si="6"/>
        <v>0</v>
      </c>
      <c r="AP508" s="33">
        <f t="shared" si="7"/>
        <v>0</v>
      </c>
      <c r="AQ508" s="33">
        <f t="shared" si="8"/>
        <v>0</v>
      </c>
      <c r="AR508" s="33">
        <v>1.0</v>
      </c>
      <c r="AS508" s="33">
        <f t="shared" si="9"/>
        <v>0</v>
      </c>
      <c r="AT508" s="33">
        <v>2.0</v>
      </c>
      <c r="AU508" s="33">
        <f t="shared" si="10"/>
        <v>0</v>
      </c>
      <c r="AV508" s="33">
        <v>2.0</v>
      </c>
      <c r="AW508" s="34">
        <f t="shared" si="11"/>
        <v>0</v>
      </c>
      <c r="AX508" s="34">
        <f t="shared" si="12"/>
        <v>0</v>
      </c>
      <c r="AY508" s="33"/>
    </row>
    <row r="509" ht="15.75" customHeight="1">
      <c r="A509" s="38"/>
      <c r="B509" s="18"/>
      <c r="C509" s="29"/>
      <c r="D509" s="3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>
        <f t="shared" si="1"/>
        <v>0</v>
      </c>
      <c r="AK509" s="36">
        <f t="shared" si="2"/>
        <v>0</v>
      </c>
      <c r="AL509" s="36">
        <f t="shared" si="3"/>
        <v>0</v>
      </c>
      <c r="AM509" s="36">
        <f t="shared" si="4"/>
        <v>0</v>
      </c>
      <c r="AN509" s="36">
        <f t="shared" si="5"/>
        <v>0</v>
      </c>
      <c r="AO509" s="36">
        <f t="shared" si="6"/>
        <v>0</v>
      </c>
      <c r="AP509" s="36">
        <f t="shared" si="7"/>
        <v>0</v>
      </c>
      <c r="AQ509" s="36">
        <f t="shared" si="8"/>
        <v>0</v>
      </c>
      <c r="AR509" s="36">
        <v>1.0</v>
      </c>
      <c r="AS509" s="36">
        <f t="shared" si="9"/>
        <v>0</v>
      </c>
      <c r="AT509" s="36">
        <v>2.0</v>
      </c>
      <c r="AU509" s="36">
        <f t="shared" si="10"/>
        <v>0</v>
      </c>
      <c r="AV509" s="36">
        <v>2.0</v>
      </c>
      <c r="AW509" s="37">
        <f t="shared" si="11"/>
        <v>0</v>
      </c>
      <c r="AX509" s="37">
        <f t="shared" si="12"/>
        <v>0</v>
      </c>
      <c r="AY509" s="36"/>
    </row>
    <row r="510" ht="15.75" customHeight="1">
      <c r="A510" s="38"/>
      <c r="B510" s="24"/>
      <c r="C510" s="31"/>
      <c r="D510" s="32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>
        <f t="shared" si="1"/>
        <v>0</v>
      </c>
      <c r="AK510" s="33">
        <f t="shared" si="2"/>
        <v>0</v>
      </c>
      <c r="AL510" s="33">
        <f t="shared" si="3"/>
        <v>0</v>
      </c>
      <c r="AM510" s="33">
        <f t="shared" si="4"/>
        <v>0</v>
      </c>
      <c r="AN510" s="33">
        <f t="shared" si="5"/>
        <v>0</v>
      </c>
      <c r="AO510" s="33">
        <f t="shared" si="6"/>
        <v>0</v>
      </c>
      <c r="AP510" s="33">
        <f t="shared" si="7"/>
        <v>0</v>
      </c>
      <c r="AQ510" s="33">
        <f t="shared" si="8"/>
        <v>0</v>
      </c>
      <c r="AR510" s="33">
        <v>1.0</v>
      </c>
      <c r="AS510" s="33">
        <f t="shared" si="9"/>
        <v>0</v>
      </c>
      <c r="AT510" s="33">
        <v>2.0</v>
      </c>
      <c r="AU510" s="33">
        <f t="shared" si="10"/>
        <v>0</v>
      </c>
      <c r="AV510" s="33">
        <v>2.0</v>
      </c>
      <c r="AW510" s="34">
        <f t="shared" si="11"/>
        <v>0</v>
      </c>
      <c r="AX510" s="34">
        <f t="shared" si="12"/>
        <v>0</v>
      </c>
      <c r="AY510" s="33"/>
    </row>
    <row r="511" ht="15.75" customHeight="1">
      <c r="A511" s="38"/>
      <c r="B511" s="18"/>
      <c r="C511" s="29"/>
      <c r="D511" s="3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>
        <f t="shared" si="1"/>
        <v>0</v>
      </c>
      <c r="AK511" s="36">
        <f t="shared" si="2"/>
        <v>0</v>
      </c>
      <c r="AL511" s="36">
        <f t="shared" si="3"/>
        <v>0</v>
      </c>
      <c r="AM511" s="36">
        <f t="shared" si="4"/>
        <v>0</v>
      </c>
      <c r="AN511" s="36">
        <f t="shared" si="5"/>
        <v>0</v>
      </c>
      <c r="AO511" s="36">
        <f t="shared" si="6"/>
        <v>0</v>
      </c>
      <c r="AP511" s="36">
        <f t="shared" si="7"/>
        <v>0</v>
      </c>
      <c r="AQ511" s="36">
        <f t="shared" si="8"/>
        <v>0</v>
      </c>
      <c r="AR511" s="36">
        <v>1.0</v>
      </c>
      <c r="AS511" s="36">
        <f t="shared" si="9"/>
        <v>0</v>
      </c>
      <c r="AT511" s="36">
        <v>2.0</v>
      </c>
      <c r="AU511" s="36">
        <f t="shared" si="10"/>
        <v>0</v>
      </c>
      <c r="AV511" s="36">
        <v>2.0</v>
      </c>
      <c r="AW511" s="37">
        <f t="shared" si="11"/>
        <v>0</v>
      </c>
      <c r="AX511" s="37">
        <f t="shared" si="12"/>
        <v>0</v>
      </c>
      <c r="AY511" s="36"/>
    </row>
    <row r="512" ht="15.75" customHeight="1">
      <c r="A512" s="38"/>
      <c r="B512" s="24"/>
      <c r="C512" s="31"/>
      <c r="D512" s="32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>
        <f t="shared" si="1"/>
        <v>0</v>
      </c>
      <c r="AK512" s="33">
        <f t="shared" si="2"/>
        <v>0</v>
      </c>
      <c r="AL512" s="33">
        <f t="shared" si="3"/>
        <v>0</v>
      </c>
      <c r="AM512" s="33">
        <f t="shared" si="4"/>
        <v>0</v>
      </c>
      <c r="AN512" s="33">
        <f t="shared" si="5"/>
        <v>0</v>
      </c>
      <c r="AO512" s="33">
        <f t="shared" si="6"/>
        <v>0</v>
      </c>
      <c r="AP512" s="33">
        <f t="shared" si="7"/>
        <v>0</v>
      </c>
      <c r="AQ512" s="33">
        <f t="shared" si="8"/>
        <v>0</v>
      </c>
      <c r="AR512" s="33">
        <v>1.0</v>
      </c>
      <c r="AS512" s="33">
        <f t="shared" si="9"/>
        <v>0</v>
      </c>
      <c r="AT512" s="33">
        <v>2.0</v>
      </c>
      <c r="AU512" s="33">
        <f t="shared" si="10"/>
        <v>0</v>
      </c>
      <c r="AV512" s="33">
        <v>2.0</v>
      </c>
      <c r="AW512" s="34">
        <f t="shared" si="11"/>
        <v>0</v>
      </c>
      <c r="AX512" s="34">
        <f t="shared" si="12"/>
        <v>0</v>
      </c>
      <c r="AY512" s="33"/>
    </row>
    <row r="513" ht="15.75" customHeight="1">
      <c r="A513" s="38"/>
      <c r="B513" s="18"/>
      <c r="C513" s="29"/>
      <c r="D513" s="3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>
        <f t="shared" si="1"/>
        <v>0</v>
      </c>
      <c r="AK513" s="36">
        <f t="shared" si="2"/>
        <v>0</v>
      </c>
      <c r="AL513" s="36">
        <f t="shared" si="3"/>
        <v>0</v>
      </c>
      <c r="AM513" s="36">
        <f t="shared" si="4"/>
        <v>0</v>
      </c>
      <c r="AN513" s="36">
        <f t="shared" si="5"/>
        <v>0</v>
      </c>
      <c r="AO513" s="36">
        <f t="shared" si="6"/>
        <v>0</v>
      </c>
      <c r="AP513" s="36">
        <f t="shared" si="7"/>
        <v>0</v>
      </c>
      <c r="AQ513" s="36">
        <f t="shared" si="8"/>
        <v>0</v>
      </c>
      <c r="AR513" s="36">
        <v>1.0</v>
      </c>
      <c r="AS513" s="36">
        <f t="shared" si="9"/>
        <v>0</v>
      </c>
      <c r="AT513" s="36">
        <v>2.0</v>
      </c>
      <c r="AU513" s="36">
        <f t="shared" si="10"/>
        <v>0</v>
      </c>
      <c r="AV513" s="36">
        <v>2.0</v>
      </c>
      <c r="AW513" s="37">
        <f t="shared" si="11"/>
        <v>0</v>
      </c>
      <c r="AX513" s="37">
        <f t="shared" si="12"/>
        <v>0</v>
      </c>
      <c r="AY513" s="36"/>
    </row>
    <row r="514" ht="15.75" customHeight="1">
      <c r="A514" s="38"/>
      <c r="B514" s="24"/>
      <c r="C514" s="31"/>
      <c r="D514" s="32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>
        <f t="shared" si="1"/>
        <v>0</v>
      </c>
      <c r="AK514" s="33">
        <f t="shared" si="2"/>
        <v>0</v>
      </c>
      <c r="AL514" s="33">
        <f t="shared" si="3"/>
        <v>0</v>
      </c>
      <c r="AM514" s="33">
        <f t="shared" si="4"/>
        <v>0</v>
      </c>
      <c r="AN514" s="33">
        <f t="shared" si="5"/>
        <v>0</v>
      </c>
      <c r="AO514" s="33">
        <f t="shared" si="6"/>
        <v>0</v>
      </c>
      <c r="AP514" s="33">
        <f t="shared" si="7"/>
        <v>0</v>
      </c>
      <c r="AQ514" s="33">
        <f t="shared" si="8"/>
        <v>0</v>
      </c>
      <c r="AR514" s="33">
        <v>1.0</v>
      </c>
      <c r="AS514" s="33">
        <f t="shared" si="9"/>
        <v>0</v>
      </c>
      <c r="AT514" s="33">
        <v>2.0</v>
      </c>
      <c r="AU514" s="33">
        <f t="shared" si="10"/>
        <v>0</v>
      </c>
      <c r="AV514" s="33">
        <v>2.0</v>
      </c>
      <c r="AW514" s="34">
        <f t="shared" si="11"/>
        <v>0</v>
      </c>
      <c r="AX514" s="34">
        <f t="shared" si="12"/>
        <v>0</v>
      </c>
      <c r="AY514" s="33"/>
    </row>
    <row r="515" ht="15.75" customHeight="1">
      <c r="A515" s="38"/>
      <c r="B515" s="18"/>
      <c r="C515" s="29"/>
      <c r="D515" s="3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>
        <f t="shared" si="1"/>
        <v>0</v>
      </c>
      <c r="AK515" s="36">
        <f t="shared" si="2"/>
        <v>0</v>
      </c>
      <c r="AL515" s="36">
        <f t="shared" si="3"/>
        <v>0</v>
      </c>
      <c r="AM515" s="36">
        <f t="shared" si="4"/>
        <v>0</v>
      </c>
      <c r="AN515" s="36">
        <f t="shared" si="5"/>
        <v>0</v>
      </c>
      <c r="AO515" s="36">
        <f t="shared" si="6"/>
        <v>0</v>
      </c>
      <c r="AP515" s="36">
        <f t="shared" si="7"/>
        <v>0</v>
      </c>
      <c r="AQ515" s="36">
        <f t="shared" si="8"/>
        <v>0</v>
      </c>
      <c r="AR515" s="36">
        <v>1.0</v>
      </c>
      <c r="AS515" s="36">
        <f t="shared" si="9"/>
        <v>0</v>
      </c>
      <c r="AT515" s="36">
        <v>2.0</v>
      </c>
      <c r="AU515" s="36">
        <f t="shared" si="10"/>
        <v>0</v>
      </c>
      <c r="AV515" s="36">
        <v>2.0</v>
      </c>
      <c r="AW515" s="37">
        <f t="shared" si="11"/>
        <v>0</v>
      </c>
      <c r="AX515" s="37">
        <f t="shared" si="12"/>
        <v>0</v>
      </c>
      <c r="AY515" s="36"/>
    </row>
    <row r="516" ht="15.75" customHeight="1">
      <c r="A516" s="38"/>
      <c r="B516" s="24"/>
      <c r="C516" s="31"/>
      <c r="D516" s="32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>
        <f t="shared" si="1"/>
        <v>0</v>
      </c>
      <c r="AK516" s="33">
        <f t="shared" si="2"/>
        <v>0</v>
      </c>
      <c r="AL516" s="33">
        <f t="shared" si="3"/>
        <v>0</v>
      </c>
      <c r="AM516" s="33">
        <f t="shared" si="4"/>
        <v>0</v>
      </c>
      <c r="AN516" s="33">
        <f t="shared" si="5"/>
        <v>0</v>
      </c>
      <c r="AO516" s="33">
        <f t="shared" si="6"/>
        <v>0</v>
      </c>
      <c r="AP516" s="33">
        <f t="shared" si="7"/>
        <v>0</v>
      </c>
      <c r="AQ516" s="33">
        <f t="shared" si="8"/>
        <v>0</v>
      </c>
      <c r="AR516" s="33">
        <v>1.0</v>
      </c>
      <c r="AS516" s="33">
        <f t="shared" si="9"/>
        <v>0</v>
      </c>
      <c r="AT516" s="33">
        <v>2.0</v>
      </c>
      <c r="AU516" s="33">
        <f t="shared" si="10"/>
        <v>0</v>
      </c>
      <c r="AV516" s="33">
        <v>2.0</v>
      </c>
      <c r="AW516" s="34">
        <f t="shared" si="11"/>
        <v>0</v>
      </c>
      <c r="AX516" s="34">
        <f t="shared" si="12"/>
        <v>0</v>
      </c>
      <c r="AY516" s="33"/>
    </row>
    <row r="517" ht="15.75" customHeight="1">
      <c r="A517" s="38"/>
      <c r="B517" s="18"/>
      <c r="C517" s="29"/>
      <c r="D517" s="3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>
        <f t="shared" si="1"/>
        <v>0</v>
      </c>
      <c r="AK517" s="36">
        <f t="shared" si="2"/>
        <v>0</v>
      </c>
      <c r="AL517" s="36">
        <f t="shared" si="3"/>
        <v>0</v>
      </c>
      <c r="AM517" s="36">
        <f t="shared" si="4"/>
        <v>0</v>
      </c>
      <c r="AN517" s="36">
        <f t="shared" si="5"/>
        <v>0</v>
      </c>
      <c r="AO517" s="36">
        <f t="shared" si="6"/>
        <v>0</v>
      </c>
      <c r="AP517" s="36">
        <f t="shared" si="7"/>
        <v>0</v>
      </c>
      <c r="AQ517" s="36">
        <f t="shared" si="8"/>
        <v>0</v>
      </c>
      <c r="AR517" s="36">
        <v>1.0</v>
      </c>
      <c r="AS517" s="36">
        <f t="shared" si="9"/>
        <v>0</v>
      </c>
      <c r="AT517" s="36">
        <v>2.0</v>
      </c>
      <c r="AU517" s="36">
        <f t="shared" si="10"/>
        <v>0</v>
      </c>
      <c r="AV517" s="36">
        <v>2.0</v>
      </c>
      <c r="AW517" s="37">
        <f t="shared" si="11"/>
        <v>0</v>
      </c>
      <c r="AX517" s="37">
        <f t="shared" si="12"/>
        <v>0</v>
      </c>
      <c r="AY517" s="36"/>
    </row>
    <row r="518" ht="15.75" customHeight="1">
      <c r="A518" s="38"/>
      <c r="B518" s="24"/>
      <c r="C518" s="31"/>
      <c r="D518" s="32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>
        <f t="shared" si="1"/>
        <v>0</v>
      </c>
      <c r="AK518" s="33">
        <f t="shared" si="2"/>
        <v>0</v>
      </c>
      <c r="AL518" s="33">
        <f t="shared" si="3"/>
        <v>0</v>
      </c>
      <c r="AM518" s="33">
        <f t="shared" si="4"/>
        <v>0</v>
      </c>
      <c r="AN518" s="33">
        <f t="shared" si="5"/>
        <v>0</v>
      </c>
      <c r="AO518" s="33">
        <f t="shared" si="6"/>
        <v>0</v>
      </c>
      <c r="AP518" s="33">
        <f t="shared" si="7"/>
        <v>0</v>
      </c>
      <c r="AQ518" s="33">
        <f t="shared" si="8"/>
        <v>0</v>
      </c>
      <c r="AR518" s="33">
        <v>1.0</v>
      </c>
      <c r="AS518" s="33">
        <f t="shared" si="9"/>
        <v>0</v>
      </c>
      <c r="AT518" s="33">
        <v>2.0</v>
      </c>
      <c r="AU518" s="33">
        <f t="shared" si="10"/>
        <v>0</v>
      </c>
      <c r="AV518" s="33">
        <v>2.0</v>
      </c>
      <c r="AW518" s="34">
        <f t="shared" si="11"/>
        <v>0</v>
      </c>
      <c r="AX518" s="34">
        <f t="shared" si="12"/>
        <v>0</v>
      </c>
      <c r="AY518" s="33"/>
    </row>
    <row r="519" ht="15.75" customHeight="1">
      <c r="A519" s="38"/>
      <c r="B519" s="18"/>
      <c r="C519" s="29"/>
      <c r="D519" s="3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>
        <f t="shared" si="1"/>
        <v>0</v>
      </c>
      <c r="AK519" s="36">
        <f t="shared" si="2"/>
        <v>0</v>
      </c>
      <c r="AL519" s="36">
        <f t="shared" si="3"/>
        <v>0</v>
      </c>
      <c r="AM519" s="36">
        <f t="shared" si="4"/>
        <v>0</v>
      </c>
      <c r="AN519" s="36">
        <f t="shared" si="5"/>
        <v>0</v>
      </c>
      <c r="AO519" s="36">
        <f t="shared" si="6"/>
        <v>0</v>
      </c>
      <c r="AP519" s="36">
        <f t="shared" si="7"/>
        <v>0</v>
      </c>
      <c r="AQ519" s="36">
        <f t="shared" si="8"/>
        <v>0</v>
      </c>
      <c r="AR519" s="36">
        <v>1.0</v>
      </c>
      <c r="AS519" s="36">
        <f t="shared" si="9"/>
        <v>0</v>
      </c>
      <c r="AT519" s="36">
        <v>2.0</v>
      </c>
      <c r="AU519" s="36">
        <f t="shared" si="10"/>
        <v>0</v>
      </c>
      <c r="AV519" s="36">
        <v>2.0</v>
      </c>
      <c r="AW519" s="37">
        <f t="shared" si="11"/>
        <v>0</v>
      </c>
      <c r="AX519" s="37">
        <f t="shared" si="12"/>
        <v>0</v>
      </c>
      <c r="AY519" s="36"/>
    </row>
    <row r="520" ht="15.75" customHeight="1">
      <c r="A520" s="38"/>
      <c r="B520" s="24"/>
      <c r="C520" s="31"/>
      <c r="D520" s="32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>
        <f t="shared" si="1"/>
        <v>0</v>
      </c>
      <c r="AK520" s="33">
        <f t="shared" si="2"/>
        <v>0</v>
      </c>
      <c r="AL520" s="33">
        <f t="shared" si="3"/>
        <v>0</v>
      </c>
      <c r="AM520" s="33">
        <f t="shared" si="4"/>
        <v>0</v>
      </c>
      <c r="AN520" s="33">
        <f t="shared" si="5"/>
        <v>0</v>
      </c>
      <c r="AO520" s="33">
        <f t="shared" si="6"/>
        <v>0</v>
      </c>
      <c r="AP520" s="33">
        <f t="shared" si="7"/>
        <v>0</v>
      </c>
      <c r="AQ520" s="33">
        <f t="shared" si="8"/>
        <v>0</v>
      </c>
      <c r="AR520" s="33">
        <v>1.0</v>
      </c>
      <c r="AS520" s="33">
        <f t="shared" si="9"/>
        <v>0</v>
      </c>
      <c r="AT520" s="33">
        <v>2.0</v>
      </c>
      <c r="AU520" s="33">
        <f t="shared" si="10"/>
        <v>0</v>
      </c>
      <c r="AV520" s="33">
        <v>2.0</v>
      </c>
      <c r="AW520" s="34">
        <f t="shared" si="11"/>
        <v>0</v>
      </c>
      <c r="AX520" s="34">
        <f t="shared" si="12"/>
        <v>0</v>
      </c>
      <c r="AY520" s="33"/>
    </row>
    <row r="521" ht="15.75" customHeight="1">
      <c r="A521" s="38"/>
      <c r="B521" s="18"/>
      <c r="C521" s="29"/>
      <c r="D521" s="3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>
        <f t="shared" si="1"/>
        <v>0</v>
      </c>
      <c r="AK521" s="36">
        <f t="shared" si="2"/>
        <v>0</v>
      </c>
      <c r="AL521" s="36">
        <f t="shared" si="3"/>
        <v>0</v>
      </c>
      <c r="AM521" s="36">
        <f t="shared" si="4"/>
        <v>0</v>
      </c>
      <c r="AN521" s="36">
        <f t="shared" si="5"/>
        <v>0</v>
      </c>
      <c r="AO521" s="36">
        <f t="shared" si="6"/>
        <v>0</v>
      </c>
      <c r="AP521" s="36">
        <f t="shared" si="7"/>
        <v>0</v>
      </c>
      <c r="AQ521" s="36">
        <f t="shared" si="8"/>
        <v>0</v>
      </c>
      <c r="AR521" s="36">
        <v>1.0</v>
      </c>
      <c r="AS521" s="36">
        <f t="shared" si="9"/>
        <v>0</v>
      </c>
      <c r="AT521" s="36">
        <v>2.0</v>
      </c>
      <c r="AU521" s="36">
        <f t="shared" si="10"/>
        <v>0</v>
      </c>
      <c r="AV521" s="36">
        <v>2.0</v>
      </c>
      <c r="AW521" s="37">
        <f t="shared" si="11"/>
        <v>0</v>
      </c>
      <c r="AX521" s="37">
        <f t="shared" si="12"/>
        <v>0</v>
      </c>
      <c r="AY521" s="36"/>
    </row>
    <row r="522" ht="15.75" customHeight="1">
      <c r="A522" s="38"/>
      <c r="B522" s="24"/>
      <c r="C522" s="31"/>
      <c r="D522" s="32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>
        <f t="shared" si="1"/>
        <v>0</v>
      </c>
      <c r="AK522" s="33">
        <f t="shared" si="2"/>
        <v>0</v>
      </c>
      <c r="AL522" s="33">
        <f t="shared" si="3"/>
        <v>0</v>
      </c>
      <c r="AM522" s="33">
        <f t="shared" si="4"/>
        <v>0</v>
      </c>
      <c r="AN522" s="33">
        <f t="shared" si="5"/>
        <v>0</v>
      </c>
      <c r="AO522" s="33">
        <f t="shared" si="6"/>
        <v>0</v>
      </c>
      <c r="AP522" s="33">
        <f t="shared" si="7"/>
        <v>0</v>
      </c>
      <c r="AQ522" s="33">
        <f t="shared" si="8"/>
        <v>0</v>
      </c>
      <c r="AR522" s="33">
        <v>1.0</v>
      </c>
      <c r="AS522" s="33">
        <f t="shared" si="9"/>
        <v>0</v>
      </c>
      <c r="AT522" s="33">
        <v>2.0</v>
      </c>
      <c r="AU522" s="33">
        <f t="shared" si="10"/>
        <v>0</v>
      </c>
      <c r="AV522" s="33">
        <v>2.0</v>
      </c>
      <c r="AW522" s="34">
        <f t="shared" si="11"/>
        <v>0</v>
      </c>
      <c r="AX522" s="34">
        <f t="shared" si="12"/>
        <v>0</v>
      </c>
      <c r="AY522" s="33"/>
    </row>
    <row r="523" ht="15.75" customHeight="1">
      <c r="A523" s="38"/>
      <c r="B523" s="18"/>
      <c r="C523" s="29"/>
      <c r="D523" s="3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>
        <f t="shared" si="1"/>
        <v>0</v>
      </c>
      <c r="AK523" s="36">
        <f t="shared" si="2"/>
        <v>0</v>
      </c>
      <c r="AL523" s="36">
        <f t="shared" si="3"/>
        <v>0</v>
      </c>
      <c r="AM523" s="36">
        <f t="shared" si="4"/>
        <v>0</v>
      </c>
      <c r="AN523" s="36">
        <f t="shared" si="5"/>
        <v>0</v>
      </c>
      <c r="AO523" s="36">
        <f t="shared" si="6"/>
        <v>0</v>
      </c>
      <c r="AP523" s="36">
        <f t="shared" si="7"/>
        <v>0</v>
      </c>
      <c r="AQ523" s="36">
        <f t="shared" si="8"/>
        <v>0</v>
      </c>
      <c r="AR523" s="36">
        <v>1.0</v>
      </c>
      <c r="AS523" s="36">
        <f t="shared" si="9"/>
        <v>0</v>
      </c>
      <c r="AT523" s="36">
        <v>2.0</v>
      </c>
      <c r="AU523" s="36">
        <f t="shared" si="10"/>
        <v>0</v>
      </c>
      <c r="AV523" s="36">
        <v>2.0</v>
      </c>
      <c r="AW523" s="37">
        <f t="shared" si="11"/>
        <v>0</v>
      </c>
      <c r="AX523" s="37">
        <f t="shared" si="12"/>
        <v>0</v>
      </c>
      <c r="AY523" s="36"/>
    </row>
    <row r="524" ht="15.75" customHeight="1">
      <c r="A524" s="38"/>
      <c r="B524" s="24"/>
      <c r="C524" s="31"/>
      <c r="D524" s="32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>
        <f t="shared" si="1"/>
        <v>0</v>
      </c>
      <c r="AK524" s="33">
        <f t="shared" si="2"/>
        <v>0</v>
      </c>
      <c r="AL524" s="33">
        <f t="shared" si="3"/>
        <v>0</v>
      </c>
      <c r="AM524" s="33">
        <f t="shared" si="4"/>
        <v>0</v>
      </c>
      <c r="AN524" s="33">
        <f t="shared" si="5"/>
        <v>0</v>
      </c>
      <c r="AO524" s="33">
        <f t="shared" si="6"/>
        <v>0</v>
      </c>
      <c r="AP524" s="33">
        <f t="shared" si="7"/>
        <v>0</v>
      </c>
      <c r="AQ524" s="33">
        <f t="shared" si="8"/>
        <v>0</v>
      </c>
      <c r="AR524" s="33">
        <v>1.0</v>
      </c>
      <c r="AS524" s="33">
        <f t="shared" si="9"/>
        <v>0</v>
      </c>
      <c r="AT524" s="33">
        <v>2.0</v>
      </c>
      <c r="AU524" s="33">
        <f t="shared" si="10"/>
        <v>0</v>
      </c>
      <c r="AV524" s="33">
        <v>2.0</v>
      </c>
      <c r="AW524" s="34">
        <f t="shared" si="11"/>
        <v>0</v>
      </c>
      <c r="AX524" s="34">
        <f t="shared" si="12"/>
        <v>0</v>
      </c>
      <c r="AY524" s="33"/>
    </row>
    <row r="525" ht="15.75" customHeight="1">
      <c r="A525" s="38"/>
      <c r="B525" s="18"/>
      <c r="C525" s="29"/>
      <c r="D525" s="3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>
        <f t="shared" si="1"/>
        <v>0</v>
      </c>
      <c r="AK525" s="36">
        <f t="shared" si="2"/>
        <v>0</v>
      </c>
      <c r="AL525" s="36">
        <f t="shared" si="3"/>
        <v>0</v>
      </c>
      <c r="AM525" s="36">
        <f t="shared" si="4"/>
        <v>0</v>
      </c>
      <c r="AN525" s="36">
        <f t="shared" si="5"/>
        <v>0</v>
      </c>
      <c r="AO525" s="36">
        <f t="shared" si="6"/>
        <v>0</v>
      </c>
      <c r="AP525" s="36">
        <f t="shared" si="7"/>
        <v>0</v>
      </c>
      <c r="AQ525" s="36">
        <f t="shared" si="8"/>
        <v>0</v>
      </c>
      <c r="AR525" s="36">
        <v>1.0</v>
      </c>
      <c r="AS525" s="36">
        <f t="shared" si="9"/>
        <v>0</v>
      </c>
      <c r="AT525" s="36">
        <v>2.0</v>
      </c>
      <c r="AU525" s="36">
        <f t="shared" si="10"/>
        <v>0</v>
      </c>
      <c r="AV525" s="36">
        <v>2.0</v>
      </c>
      <c r="AW525" s="37">
        <f t="shared" si="11"/>
        <v>0</v>
      </c>
      <c r="AX525" s="37">
        <f t="shared" si="12"/>
        <v>0</v>
      </c>
      <c r="AY525" s="36"/>
    </row>
    <row r="526" ht="15.75" customHeight="1">
      <c r="A526" s="38"/>
      <c r="B526" s="24"/>
      <c r="C526" s="31"/>
      <c r="D526" s="32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>
        <f t="shared" si="1"/>
        <v>0</v>
      </c>
      <c r="AK526" s="33">
        <f t="shared" si="2"/>
        <v>0</v>
      </c>
      <c r="AL526" s="33">
        <f t="shared" si="3"/>
        <v>0</v>
      </c>
      <c r="AM526" s="33">
        <f t="shared" si="4"/>
        <v>0</v>
      </c>
      <c r="AN526" s="33">
        <f t="shared" si="5"/>
        <v>0</v>
      </c>
      <c r="AO526" s="33">
        <f t="shared" si="6"/>
        <v>0</v>
      </c>
      <c r="AP526" s="33">
        <f t="shared" si="7"/>
        <v>0</v>
      </c>
      <c r="AQ526" s="33">
        <f t="shared" si="8"/>
        <v>0</v>
      </c>
      <c r="AR526" s="33">
        <v>1.0</v>
      </c>
      <c r="AS526" s="33">
        <f t="shared" si="9"/>
        <v>0</v>
      </c>
      <c r="AT526" s="33">
        <v>2.0</v>
      </c>
      <c r="AU526" s="33">
        <f t="shared" si="10"/>
        <v>0</v>
      </c>
      <c r="AV526" s="33">
        <v>2.0</v>
      </c>
      <c r="AW526" s="34">
        <f t="shared" si="11"/>
        <v>0</v>
      </c>
      <c r="AX526" s="34">
        <f t="shared" si="12"/>
        <v>0</v>
      </c>
      <c r="AY526" s="33"/>
    </row>
    <row r="527" ht="15.75" customHeight="1">
      <c r="A527" s="38"/>
      <c r="B527" s="18"/>
      <c r="C527" s="29"/>
      <c r="D527" s="3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>
        <f t="shared" si="1"/>
        <v>0</v>
      </c>
      <c r="AK527" s="36">
        <f t="shared" si="2"/>
        <v>0</v>
      </c>
      <c r="AL527" s="36">
        <f t="shared" si="3"/>
        <v>0</v>
      </c>
      <c r="AM527" s="36">
        <f t="shared" si="4"/>
        <v>0</v>
      </c>
      <c r="AN527" s="36">
        <f t="shared" si="5"/>
        <v>0</v>
      </c>
      <c r="AO527" s="36">
        <f t="shared" si="6"/>
        <v>0</v>
      </c>
      <c r="AP527" s="36">
        <f t="shared" si="7"/>
        <v>0</v>
      </c>
      <c r="AQ527" s="36">
        <f t="shared" si="8"/>
        <v>0</v>
      </c>
      <c r="AR527" s="36">
        <v>1.0</v>
      </c>
      <c r="AS527" s="36">
        <f t="shared" si="9"/>
        <v>0</v>
      </c>
      <c r="AT527" s="36">
        <v>2.0</v>
      </c>
      <c r="AU527" s="36">
        <f t="shared" si="10"/>
        <v>0</v>
      </c>
      <c r="AV527" s="36">
        <v>2.0</v>
      </c>
      <c r="AW527" s="37">
        <f t="shared" si="11"/>
        <v>0</v>
      </c>
      <c r="AX527" s="37">
        <f t="shared" si="12"/>
        <v>0</v>
      </c>
      <c r="AY527" s="36"/>
    </row>
    <row r="528" ht="15.75" customHeight="1">
      <c r="A528" s="38"/>
      <c r="B528" s="24"/>
      <c r="C528" s="31"/>
      <c r="D528" s="32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>
        <f t="shared" si="1"/>
        <v>0</v>
      </c>
      <c r="AK528" s="33">
        <f t="shared" si="2"/>
        <v>0</v>
      </c>
      <c r="AL528" s="33">
        <f t="shared" si="3"/>
        <v>0</v>
      </c>
      <c r="AM528" s="33">
        <f t="shared" si="4"/>
        <v>0</v>
      </c>
      <c r="AN528" s="33">
        <f t="shared" si="5"/>
        <v>0</v>
      </c>
      <c r="AO528" s="33">
        <f t="shared" si="6"/>
        <v>0</v>
      </c>
      <c r="AP528" s="33">
        <f t="shared" si="7"/>
        <v>0</v>
      </c>
      <c r="AQ528" s="33">
        <f t="shared" si="8"/>
        <v>0</v>
      </c>
      <c r="AR528" s="33">
        <v>1.0</v>
      </c>
      <c r="AS528" s="33">
        <f t="shared" si="9"/>
        <v>0</v>
      </c>
      <c r="AT528" s="33">
        <v>2.0</v>
      </c>
      <c r="AU528" s="33">
        <f t="shared" si="10"/>
        <v>0</v>
      </c>
      <c r="AV528" s="33">
        <v>2.0</v>
      </c>
      <c r="AW528" s="34">
        <f t="shared" si="11"/>
        <v>0</v>
      </c>
      <c r="AX528" s="34">
        <f t="shared" si="12"/>
        <v>0</v>
      </c>
      <c r="AY528" s="33"/>
    </row>
    <row r="529" ht="15.75" customHeight="1">
      <c r="A529" s="38"/>
      <c r="B529" s="18"/>
      <c r="C529" s="29"/>
      <c r="D529" s="3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>
        <f t="shared" si="1"/>
        <v>0</v>
      </c>
      <c r="AK529" s="36">
        <f t="shared" si="2"/>
        <v>0</v>
      </c>
      <c r="AL529" s="36">
        <f t="shared" si="3"/>
        <v>0</v>
      </c>
      <c r="AM529" s="36">
        <f t="shared" si="4"/>
        <v>0</v>
      </c>
      <c r="AN529" s="36">
        <f t="shared" si="5"/>
        <v>0</v>
      </c>
      <c r="AO529" s="36">
        <f t="shared" si="6"/>
        <v>0</v>
      </c>
      <c r="AP529" s="36">
        <f t="shared" si="7"/>
        <v>0</v>
      </c>
      <c r="AQ529" s="36">
        <f t="shared" si="8"/>
        <v>0</v>
      </c>
      <c r="AR529" s="36">
        <v>1.0</v>
      </c>
      <c r="AS529" s="36">
        <f t="shared" si="9"/>
        <v>0</v>
      </c>
      <c r="AT529" s="36">
        <v>2.0</v>
      </c>
      <c r="AU529" s="36">
        <f t="shared" si="10"/>
        <v>0</v>
      </c>
      <c r="AV529" s="36">
        <v>2.0</v>
      </c>
      <c r="AW529" s="37">
        <f t="shared" si="11"/>
        <v>0</v>
      </c>
      <c r="AX529" s="37">
        <f t="shared" si="12"/>
        <v>0</v>
      </c>
      <c r="AY529" s="36"/>
    </row>
    <row r="530" ht="15.75" customHeight="1">
      <c r="A530" s="38"/>
      <c r="B530" s="24"/>
      <c r="C530" s="31"/>
      <c r="D530" s="32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>
        <f t="shared" si="1"/>
        <v>0</v>
      </c>
      <c r="AK530" s="33">
        <f t="shared" si="2"/>
        <v>0</v>
      </c>
      <c r="AL530" s="33">
        <f t="shared" si="3"/>
        <v>0</v>
      </c>
      <c r="AM530" s="33">
        <f t="shared" si="4"/>
        <v>0</v>
      </c>
      <c r="AN530" s="33">
        <f t="shared" si="5"/>
        <v>0</v>
      </c>
      <c r="AO530" s="33">
        <f t="shared" si="6"/>
        <v>0</v>
      </c>
      <c r="AP530" s="33">
        <f t="shared" si="7"/>
        <v>0</v>
      </c>
      <c r="AQ530" s="33">
        <f t="shared" si="8"/>
        <v>0</v>
      </c>
      <c r="AR530" s="33">
        <v>1.0</v>
      </c>
      <c r="AS530" s="33">
        <f t="shared" si="9"/>
        <v>0</v>
      </c>
      <c r="AT530" s="33">
        <v>2.0</v>
      </c>
      <c r="AU530" s="33">
        <f t="shared" si="10"/>
        <v>0</v>
      </c>
      <c r="AV530" s="33">
        <v>2.0</v>
      </c>
      <c r="AW530" s="34">
        <f t="shared" si="11"/>
        <v>0</v>
      </c>
      <c r="AX530" s="34">
        <f t="shared" si="12"/>
        <v>0</v>
      </c>
      <c r="AY530" s="33"/>
    </row>
    <row r="531" ht="15.75" customHeight="1">
      <c r="A531" s="38"/>
      <c r="B531" s="18"/>
      <c r="C531" s="29"/>
      <c r="D531" s="3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>
        <f t="shared" si="1"/>
        <v>0</v>
      </c>
      <c r="AK531" s="36">
        <f t="shared" si="2"/>
        <v>0</v>
      </c>
      <c r="AL531" s="36">
        <f t="shared" si="3"/>
        <v>0</v>
      </c>
      <c r="AM531" s="36">
        <f t="shared" si="4"/>
        <v>0</v>
      </c>
      <c r="AN531" s="36">
        <f t="shared" si="5"/>
        <v>0</v>
      </c>
      <c r="AO531" s="36">
        <f t="shared" si="6"/>
        <v>0</v>
      </c>
      <c r="AP531" s="36">
        <f t="shared" si="7"/>
        <v>0</v>
      </c>
      <c r="AQ531" s="36">
        <f t="shared" si="8"/>
        <v>0</v>
      </c>
      <c r="AR531" s="36">
        <v>1.0</v>
      </c>
      <c r="AS531" s="36">
        <f t="shared" si="9"/>
        <v>0</v>
      </c>
      <c r="AT531" s="36">
        <v>2.0</v>
      </c>
      <c r="AU531" s="36">
        <f t="shared" si="10"/>
        <v>0</v>
      </c>
      <c r="AV531" s="36">
        <v>2.0</v>
      </c>
      <c r="AW531" s="37">
        <f t="shared" si="11"/>
        <v>0</v>
      </c>
      <c r="AX531" s="37">
        <f t="shared" si="12"/>
        <v>0</v>
      </c>
      <c r="AY531" s="36"/>
    </row>
    <row r="532" ht="15.75" customHeight="1">
      <c r="A532" s="38"/>
      <c r="B532" s="24"/>
      <c r="C532" s="31"/>
      <c r="D532" s="32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>
        <f t="shared" si="1"/>
        <v>0</v>
      </c>
      <c r="AK532" s="33">
        <f t="shared" si="2"/>
        <v>0</v>
      </c>
      <c r="AL532" s="33">
        <f t="shared" si="3"/>
        <v>0</v>
      </c>
      <c r="AM532" s="33">
        <f t="shared" si="4"/>
        <v>0</v>
      </c>
      <c r="AN532" s="33">
        <f t="shared" si="5"/>
        <v>0</v>
      </c>
      <c r="AO532" s="33">
        <f t="shared" si="6"/>
        <v>0</v>
      </c>
      <c r="AP532" s="33">
        <f t="shared" si="7"/>
        <v>0</v>
      </c>
      <c r="AQ532" s="33">
        <f t="shared" si="8"/>
        <v>0</v>
      </c>
      <c r="AR532" s="33">
        <v>1.0</v>
      </c>
      <c r="AS532" s="33">
        <f t="shared" si="9"/>
        <v>0</v>
      </c>
      <c r="AT532" s="33">
        <v>2.0</v>
      </c>
      <c r="AU532" s="33">
        <f t="shared" si="10"/>
        <v>0</v>
      </c>
      <c r="AV532" s="33">
        <v>2.0</v>
      </c>
      <c r="AW532" s="34">
        <f t="shared" si="11"/>
        <v>0</v>
      </c>
      <c r="AX532" s="34">
        <f t="shared" si="12"/>
        <v>0</v>
      </c>
      <c r="AY532" s="33"/>
    </row>
    <row r="533" ht="15.75" customHeight="1">
      <c r="A533" s="38"/>
      <c r="B533" s="18"/>
      <c r="C533" s="29"/>
      <c r="D533" s="3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>
        <f t="shared" si="1"/>
        <v>0</v>
      </c>
      <c r="AK533" s="36">
        <f t="shared" si="2"/>
        <v>0</v>
      </c>
      <c r="AL533" s="36">
        <f t="shared" si="3"/>
        <v>0</v>
      </c>
      <c r="AM533" s="36">
        <f t="shared" si="4"/>
        <v>0</v>
      </c>
      <c r="AN533" s="36">
        <f t="shared" si="5"/>
        <v>0</v>
      </c>
      <c r="AO533" s="36">
        <f t="shared" si="6"/>
        <v>0</v>
      </c>
      <c r="AP533" s="36">
        <f t="shared" si="7"/>
        <v>0</v>
      </c>
      <c r="AQ533" s="36">
        <f t="shared" si="8"/>
        <v>0</v>
      </c>
      <c r="AR533" s="36">
        <v>1.0</v>
      </c>
      <c r="AS533" s="36">
        <f t="shared" si="9"/>
        <v>0</v>
      </c>
      <c r="AT533" s="36">
        <v>2.0</v>
      </c>
      <c r="AU533" s="36">
        <f t="shared" si="10"/>
        <v>0</v>
      </c>
      <c r="AV533" s="36">
        <v>2.0</v>
      </c>
      <c r="AW533" s="37">
        <f t="shared" si="11"/>
        <v>0</v>
      </c>
      <c r="AX533" s="37">
        <f t="shared" si="12"/>
        <v>0</v>
      </c>
      <c r="AY533" s="36"/>
    </row>
    <row r="534" ht="15.75" customHeight="1">
      <c r="A534" s="38"/>
      <c r="B534" s="24"/>
      <c r="C534" s="31"/>
      <c r="D534" s="32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>
        <f t="shared" si="1"/>
        <v>0</v>
      </c>
      <c r="AK534" s="33">
        <f t="shared" si="2"/>
        <v>0</v>
      </c>
      <c r="AL534" s="33">
        <f t="shared" si="3"/>
        <v>0</v>
      </c>
      <c r="AM534" s="33">
        <f t="shared" si="4"/>
        <v>0</v>
      </c>
      <c r="AN534" s="33">
        <f t="shared" si="5"/>
        <v>0</v>
      </c>
      <c r="AO534" s="33">
        <f t="shared" si="6"/>
        <v>0</v>
      </c>
      <c r="AP534" s="33">
        <f t="shared" si="7"/>
        <v>0</v>
      </c>
      <c r="AQ534" s="33">
        <f t="shared" si="8"/>
        <v>0</v>
      </c>
      <c r="AR534" s="33">
        <v>1.0</v>
      </c>
      <c r="AS534" s="33">
        <f t="shared" si="9"/>
        <v>0</v>
      </c>
      <c r="AT534" s="33">
        <v>2.0</v>
      </c>
      <c r="AU534" s="33">
        <f t="shared" si="10"/>
        <v>0</v>
      </c>
      <c r="AV534" s="33">
        <v>2.0</v>
      </c>
      <c r="AW534" s="34">
        <f t="shared" si="11"/>
        <v>0</v>
      </c>
      <c r="AX534" s="34">
        <f t="shared" si="12"/>
        <v>0</v>
      </c>
      <c r="AY534" s="33"/>
    </row>
    <row r="535" ht="15.75" customHeight="1">
      <c r="A535" s="38"/>
      <c r="B535" s="18"/>
      <c r="C535" s="29"/>
      <c r="D535" s="3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>
        <f t="shared" si="1"/>
        <v>0</v>
      </c>
      <c r="AK535" s="36">
        <f t="shared" si="2"/>
        <v>0</v>
      </c>
      <c r="AL535" s="36">
        <f t="shared" si="3"/>
        <v>0</v>
      </c>
      <c r="AM535" s="36">
        <f t="shared" si="4"/>
        <v>0</v>
      </c>
      <c r="AN535" s="36">
        <f t="shared" si="5"/>
        <v>0</v>
      </c>
      <c r="AO535" s="36">
        <f t="shared" si="6"/>
        <v>0</v>
      </c>
      <c r="AP535" s="36">
        <f t="shared" si="7"/>
        <v>0</v>
      </c>
      <c r="AQ535" s="36">
        <f t="shared" si="8"/>
        <v>0</v>
      </c>
      <c r="AR535" s="36">
        <v>1.0</v>
      </c>
      <c r="AS535" s="36">
        <f t="shared" si="9"/>
        <v>0</v>
      </c>
      <c r="AT535" s="36">
        <v>2.0</v>
      </c>
      <c r="AU535" s="36">
        <f t="shared" si="10"/>
        <v>0</v>
      </c>
      <c r="AV535" s="36">
        <v>2.0</v>
      </c>
      <c r="AW535" s="37">
        <f t="shared" si="11"/>
        <v>0</v>
      </c>
      <c r="AX535" s="37">
        <f t="shared" si="12"/>
        <v>0</v>
      </c>
      <c r="AY535" s="36"/>
    </row>
    <row r="536" ht="15.75" customHeight="1">
      <c r="A536" s="38"/>
      <c r="B536" s="24"/>
      <c r="C536" s="31"/>
      <c r="D536" s="32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>
        <f t="shared" si="1"/>
        <v>0</v>
      </c>
      <c r="AK536" s="33">
        <f t="shared" si="2"/>
        <v>0</v>
      </c>
      <c r="AL536" s="33">
        <f t="shared" si="3"/>
        <v>0</v>
      </c>
      <c r="AM536" s="33">
        <f t="shared" si="4"/>
        <v>0</v>
      </c>
      <c r="AN536" s="33">
        <f t="shared" si="5"/>
        <v>0</v>
      </c>
      <c r="AO536" s="33">
        <f t="shared" si="6"/>
        <v>0</v>
      </c>
      <c r="AP536" s="33">
        <f t="shared" si="7"/>
        <v>0</v>
      </c>
      <c r="AQ536" s="33">
        <f t="shared" si="8"/>
        <v>0</v>
      </c>
      <c r="AR536" s="33">
        <v>1.0</v>
      </c>
      <c r="AS536" s="33">
        <f t="shared" si="9"/>
        <v>0</v>
      </c>
      <c r="AT536" s="33">
        <v>2.0</v>
      </c>
      <c r="AU536" s="33">
        <f t="shared" si="10"/>
        <v>0</v>
      </c>
      <c r="AV536" s="33">
        <v>2.0</v>
      </c>
      <c r="AW536" s="34">
        <f t="shared" si="11"/>
        <v>0</v>
      </c>
      <c r="AX536" s="34">
        <f t="shared" si="12"/>
        <v>0</v>
      </c>
      <c r="AY536" s="33"/>
    </row>
    <row r="537" ht="15.75" customHeight="1">
      <c r="A537" s="38"/>
      <c r="B537" s="18"/>
      <c r="C537" s="29"/>
      <c r="D537" s="3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>
        <f t="shared" si="1"/>
        <v>0</v>
      </c>
      <c r="AK537" s="36">
        <f t="shared" si="2"/>
        <v>0</v>
      </c>
      <c r="AL537" s="36">
        <f t="shared" si="3"/>
        <v>0</v>
      </c>
      <c r="AM537" s="36">
        <f t="shared" si="4"/>
        <v>0</v>
      </c>
      <c r="AN537" s="36">
        <f t="shared" si="5"/>
        <v>0</v>
      </c>
      <c r="AO537" s="36">
        <f t="shared" si="6"/>
        <v>0</v>
      </c>
      <c r="AP537" s="36">
        <f t="shared" si="7"/>
        <v>0</v>
      </c>
      <c r="AQ537" s="36">
        <f t="shared" si="8"/>
        <v>0</v>
      </c>
      <c r="AR537" s="36">
        <v>1.0</v>
      </c>
      <c r="AS537" s="36">
        <f t="shared" si="9"/>
        <v>0</v>
      </c>
      <c r="AT537" s="36">
        <v>2.0</v>
      </c>
      <c r="AU537" s="36">
        <f t="shared" si="10"/>
        <v>0</v>
      </c>
      <c r="AV537" s="36">
        <v>2.0</v>
      </c>
      <c r="AW537" s="37">
        <f t="shared" si="11"/>
        <v>0</v>
      </c>
      <c r="AX537" s="37">
        <f t="shared" si="12"/>
        <v>0</v>
      </c>
      <c r="AY537" s="36"/>
    </row>
    <row r="538" ht="15.75" customHeight="1">
      <c r="A538" s="38"/>
      <c r="B538" s="24"/>
      <c r="C538" s="31"/>
      <c r="D538" s="32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>
        <f t="shared" si="1"/>
        <v>0</v>
      </c>
      <c r="AK538" s="33">
        <f t="shared" si="2"/>
        <v>0</v>
      </c>
      <c r="AL538" s="33">
        <f t="shared" si="3"/>
        <v>0</v>
      </c>
      <c r="AM538" s="33">
        <f t="shared" si="4"/>
        <v>0</v>
      </c>
      <c r="AN538" s="33">
        <f t="shared" si="5"/>
        <v>0</v>
      </c>
      <c r="AO538" s="33">
        <f t="shared" si="6"/>
        <v>0</v>
      </c>
      <c r="AP538" s="33">
        <f t="shared" si="7"/>
        <v>0</v>
      </c>
      <c r="AQ538" s="33">
        <f t="shared" si="8"/>
        <v>0</v>
      </c>
      <c r="AR538" s="33">
        <v>1.0</v>
      </c>
      <c r="AS538" s="33">
        <f t="shared" si="9"/>
        <v>0</v>
      </c>
      <c r="AT538" s="33">
        <v>2.0</v>
      </c>
      <c r="AU538" s="33">
        <f t="shared" si="10"/>
        <v>0</v>
      </c>
      <c r="AV538" s="33">
        <v>2.0</v>
      </c>
      <c r="AW538" s="34">
        <f t="shared" si="11"/>
        <v>0</v>
      </c>
      <c r="AX538" s="34">
        <f t="shared" si="12"/>
        <v>0</v>
      </c>
      <c r="AY538" s="33"/>
    </row>
    <row r="539" ht="15.75" customHeight="1">
      <c r="A539" s="38"/>
      <c r="B539" s="18"/>
      <c r="C539" s="29"/>
      <c r="D539" s="3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>
        <f t="shared" si="1"/>
        <v>0</v>
      </c>
      <c r="AK539" s="36">
        <f t="shared" si="2"/>
        <v>0</v>
      </c>
      <c r="AL539" s="36">
        <f t="shared" si="3"/>
        <v>0</v>
      </c>
      <c r="AM539" s="36">
        <f t="shared" si="4"/>
        <v>0</v>
      </c>
      <c r="AN539" s="36">
        <f t="shared" si="5"/>
        <v>0</v>
      </c>
      <c r="AO539" s="36">
        <f t="shared" si="6"/>
        <v>0</v>
      </c>
      <c r="AP539" s="36">
        <f t="shared" si="7"/>
        <v>0</v>
      </c>
      <c r="AQ539" s="36">
        <f t="shared" si="8"/>
        <v>0</v>
      </c>
      <c r="AR539" s="36">
        <v>1.0</v>
      </c>
      <c r="AS539" s="36">
        <f t="shared" si="9"/>
        <v>0</v>
      </c>
      <c r="AT539" s="36">
        <v>2.0</v>
      </c>
      <c r="AU539" s="36">
        <f t="shared" si="10"/>
        <v>0</v>
      </c>
      <c r="AV539" s="36">
        <v>2.0</v>
      </c>
      <c r="AW539" s="37">
        <f t="shared" si="11"/>
        <v>0</v>
      </c>
      <c r="AX539" s="37">
        <f t="shared" si="12"/>
        <v>0</v>
      </c>
      <c r="AY539" s="36"/>
    </row>
    <row r="540" ht="15.75" customHeight="1">
      <c r="A540" s="38"/>
      <c r="B540" s="24"/>
      <c r="C540" s="31"/>
      <c r="D540" s="32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>
        <f t="shared" si="1"/>
        <v>0</v>
      </c>
      <c r="AK540" s="33">
        <f t="shared" si="2"/>
        <v>0</v>
      </c>
      <c r="AL540" s="33">
        <f t="shared" si="3"/>
        <v>0</v>
      </c>
      <c r="AM540" s="33">
        <f t="shared" si="4"/>
        <v>0</v>
      </c>
      <c r="AN540" s="33">
        <f t="shared" si="5"/>
        <v>0</v>
      </c>
      <c r="AO540" s="33">
        <f t="shared" si="6"/>
        <v>0</v>
      </c>
      <c r="AP540" s="33">
        <f t="shared" si="7"/>
        <v>0</v>
      </c>
      <c r="AQ540" s="33">
        <f t="shared" si="8"/>
        <v>0</v>
      </c>
      <c r="AR540" s="33">
        <v>1.0</v>
      </c>
      <c r="AS540" s="33">
        <f t="shared" si="9"/>
        <v>0</v>
      </c>
      <c r="AT540" s="33">
        <v>2.0</v>
      </c>
      <c r="AU540" s="33">
        <f t="shared" si="10"/>
        <v>0</v>
      </c>
      <c r="AV540" s="33">
        <v>2.0</v>
      </c>
      <c r="AW540" s="34">
        <f t="shared" si="11"/>
        <v>0</v>
      </c>
      <c r="AX540" s="34">
        <f t="shared" si="12"/>
        <v>0</v>
      </c>
      <c r="AY540" s="33"/>
    </row>
    <row r="541" ht="15.75" customHeight="1">
      <c r="A541" s="38"/>
      <c r="B541" s="18"/>
      <c r="C541" s="29"/>
      <c r="D541" s="3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>
        <f t="shared" si="1"/>
        <v>0</v>
      </c>
      <c r="AK541" s="36">
        <f t="shared" si="2"/>
        <v>0</v>
      </c>
      <c r="AL541" s="36">
        <f t="shared" si="3"/>
        <v>0</v>
      </c>
      <c r="AM541" s="36">
        <f t="shared" si="4"/>
        <v>0</v>
      </c>
      <c r="AN541" s="36">
        <f t="shared" si="5"/>
        <v>0</v>
      </c>
      <c r="AO541" s="36">
        <f t="shared" si="6"/>
        <v>0</v>
      </c>
      <c r="AP541" s="36">
        <f t="shared" si="7"/>
        <v>0</v>
      </c>
      <c r="AQ541" s="36">
        <f t="shared" si="8"/>
        <v>0</v>
      </c>
      <c r="AR541" s="36">
        <v>1.0</v>
      </c>
      <c r="AS541" s="36">
        <f t="shared" si="9"/>
        <v>0</v>
      </c>
      <c r="AT541" s="36">
        <v>2.0</v>
      </c>
      <c r="AU541" s="36">
        <f t="shared" si="10"/>
        <v>0</v>
      </c>
      <c r="AV541" s="36">
        <v>2.0</v>
      </c>
      <c r="AW541" s="37">
        <f t="shared" si="11"/>
        <v>0</v>
      </c>
      <c r="AX541" s="37">
        <f t="shared" si="12"/>
        <v>0</v>
      </c>
      <c r="AY541" s="36"/>
    </row>
    <row r="542" ht="15.75" customHeight="1">
      <c r="A542" s="38"/>
      <c r="B542" s="24"/>
      <c r="C542" s="31"/>
      <c r="D542" s="32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>
        <f t="shared" si="1"/>
        <v>0</v>
      </c>
      <c r="AK542" s="33">
        <f t="shared" si="2"/>
        <v>0</v>
      </c>
      <c r="AL542" s="33">
        <f t="shared" si="3"/>
        <v>0</v>
      </c>
      <c r="AM542" s="33">
        <f t="shared" si="4"/>
        <v>0</v>
      </c>
      <c r="AN542" s="33">
        <f t="shared" si="5"/>
        <v>0</v>
      </c>
      <c r="AO542" s="33">
        <f t="shared" si="6"/>
        <v>0</v>
      </c>
      <c r="AP542" s="33">
        <f t="shared" si="7"/>
        <v>0</v>
      </c>
      <c r="AQ542" s="33">
        <f t="shared" si="8"/>
        <v>0</v>
      </c>
      <c r="AR542" s="33">
        <v>1.0</v>
      </c>
      <c r="AS542" s="33">
        <f t="shared" si="9"/>
        <v>0</v>
      </c>
      <c r="AT542" s="33">
        <v>2.0</v>
      </c>
      <c r="AU542" s="33">
        <f t="shared" si="10"/>
        <v>0</v>
      </c>
      <c r="AV542" s="33">
        <v>2.0</v>
      </c>
      <c r="AW542" s="34">
        <f t="shared" si="11"/>
        <v>0</v>
      </c>
      <c r="AX542" s="34">
        <f t="shared" si="12"/>
        <v>0</v>
      </c>
      <c r="AY542" s="33"/>
    </row>
    <row r="543" ht="15.75" customHeight="1">
      <c r="A543" s="38"/>
      <c r="B543" s="18"/>
      <c r="C543" s="29"/>
      <c r="D543" s="3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>
        <f t="shared" si="1"/>
        <v>0</v>
      </c>
      <c r="AK543" s="36">
        <f t="shared" si="2"/>
        <v>0</v>
      </c>
      <c r="AL543" s="36">
        <f t="shared" si="3"/>
        <v>0</v>
      </c>
      <c r="AM543" s="36">
        <f t="shared" si="4"/>
        <v>0</v>
      </c>
      <c r="AN543" s="36">
        <f t="shared" si="5"/>
        <v>0</v>
      </c>
      <c r="AO543" s="36">
        <f t="shared" si="6"/>
        <v>0</v>
      </c>
      <c r="AP543" s="36">
        <f t="shared" si="7"/>
        <v>0</v>
      </c>
      <c r="AQ543" s="36">
        <f t="shared" si="8"/>
        <v>0</v>
      </c>
      <c r="AR543" s="36">
        <v>1.0</v>
      </c>
      <c r="AS543" s="36">
        <f t="shared" si="9"/>
        <v>0</v>
      </c>
      <c r="AT543" s="36">
        <v>2.0</v>
      </c>
      <c r="AU543" s="36">
        <f t="shared" si="10"/>
        <v>0</v>
      </c>
      <c r="AV543" s="36">
        <v>2.0</v>
      </c>
      <c r="AW543" s="37">
        <f t="shared" si="11"/>
        <v>0</v>
      </c>
      <c r="AX543" s="37">
        <f t="shared" si="12"/>
        <v>0</v>
      </c>
      <c r="AY543" s="36"/>
    </row>
    <row r="544" ht="15.75" customHeight="1">
      <c r="A544" s="38"/>
      <c r="B544" s="24"/>
      <c r="C544" s="31"/>
      <c r="D544" s="32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>
        <f t="shared" si="1"/>
        <v>0</v>
      </c>
      <c r="AK544" s="33">
        <f t="shared" si="2"/>
        <v>0</v>
      </c>
      <c r="AL544" s="33">
        <f t="shared" si="3"/>
        <v>0</v>
      </c>
      <c r="AM544" s="33">
        <f t="shared" si="4"/>
        <v>0</v>
      </c>
      <c r="AN544" s="33">
        <f t="shared" si="5"/>
        <v>0</v>
      </c>
      <c r="AO544" s="33">
        <f t="shared" si="6"/>
        <v>0</v>
      </c>
      <c r="AP544" s="33">
        <f t="shared" si="7"/>
        <v>0</v>
      </c>
      <c r="AQ544" s="33">
        <f t="shared" si="8"/>
        <v>0</v>
      </c>
      <c r="AR544" s="33">
        <v>1.0</v>
      </c>
      <c r="AS544" s="33">
        <f t="shared" si="9"/>
        <v>0</v>
      </c>
      <c r="AT544" s="33">
        <v>2.0</v>
      </c>
      <c r="AU544" s="33">
        <f t="shared" si="10"/>
        <v>0</v>
      </c>
      <c r="AV544" s="33">
        <v>2.0</v>
      </c>
      <c r="AW544" s="34">
        <f t="shared" si="11"/>
        <v>0</v>
      </c>
      <c r="AX544" s="34">
        <f t="shared" si="12"/>
        <v>0</v>
      </c>
      <c r="AY544" s="33"/>
    </row>
    <row r="545" ht="15.75" customHeight="1">
      <c r="A545" s="38"/>
      <c r="B545" s="18"/>
      <c r="C545" s="29"/>
      <c r="D545" s="3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>
        <f t="shared" si="1"/>
        <v>0</v>
      </c>
      <c r="AK545" s="36">
        <f t="shared" si="2"/>
        <v>0</v>
      </c>
      <c r="AL545" s="36">
        <f t="shared" si="3"/>
        <v>0</v>
      </c>
      <c r="AM545" s="36">
        <f t="shared" si="4"/>
        <v>0</v>
      </c>
      <c r="AN545" s="36">
        <f t="shared" si="5"/>
        <v>0</v>
      </c>
      <c r="AO545" s="36">
        <f t="shared" si="6"/>
        <v>0</v>
      </c>
      <c r="AP545" s="36">
        <f t="shared" si="7"/>
        <v>0</v>
      </c>
      <c r="AQ545" s="36">
        <f t="shared" si="8"/>
        <v>0</v>
      </c>
      <c r="AR545" s="36">
        <v>1.0</v>
      </c>
      <c r="AS545" s="36">
        <f t="shared" si="9"/>
        <v>0</v>
      </c>
      <c r="AT545" s="36">
        <v>2.0</v>
      </c>
      <c r="AU545" s="36">
        <f t="shared" si="10"/>
        <v>0</v>
      </c>
      <c r="AV545" s="36">
        <v>2.0</v>
      </c>
      <c r="AW545" s="37">
        <f t="shared" si="11"/>
        <v>0</v>
      </c>
      <c r="AX545" s="37">
        <f t="shared" si="12"/>
        <v>0</v>
      </c>
      <c r="AY545" s="36"/>
    </row>
    <row r="546" ht="15.75" customHeight="1">
      <c r="A546" s="38"/>
      <c r="B546" s="24"/>
      <c r="C546" s="31"/>
      <c r="D546" s="32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>
        <f t="shared" si="1"/>
        <v>0</v>
      </c>
      <c r="AK546" s="33">
        <f t="shared" si="2"/>
        <v>0</v>
      </c>
      <c r="AL546" s="33">
        <f t="shared" si="3"/>
        <v>0</v>
      </c>
      <c r="AM546" s="33">
        <f t="shared" si="4"/>
        <v>0</v>
      </c>
      <c r="AN546" s="33">
        <f t="shared" si="5"/>
        <v>0</v>
      </c>
      <c r="AO546" s="33">
        <f t="shared" si="6"/>
        <v>0</v>
      </c>
      <c r="AP546" s="33">
        <f t="shared" si="7"/>
        <v>0</v>
      </c>
      <c r="AQ546" s="33">
        <f t="shared" si="8"/>
        <v>0</v>
      </c>
      <c r="AR546" s="33">
        <v>1.0</v>
      </c>
      <c r="AS546" s="33">
        <f t="shared" si="9"/>
        <v>0</v>
      </c>
      <c r="AT546" s="33">
        <v>2.0</v>
      </c>
      <c r="AU546" s="33">
        <f t="shared" si="10"/>
        <v>0</v>
      </c>
      <c r="AV546" s="33">
        <v>2.0</v>
      </c>
      <c r="AW546" s="34">
        <f t="shared" si="11"/>
        <v>0</v>
      </c>
      <c r="AX546" s="34">
        <f t="shared" si="12"/>
        <v>0</v>
      </c>
      <c r="AY546" s="33"/>
    </row>
    <row r="547" ht="15.75" customHeight="1">
      <c r="A547" s="38"/>
      <c r="B547" s="18"/>
      <c r="C547" s="29"/>
      <c r="D547" s="3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>
        <f t="shared" si="1"/>
        <v>0</v>
      </c>
      <c r="AK547" s="36">
        <f t="shared" si="2"/>
        <v>0</v>
      </c>
      <c r="AL547" s="36">
        <f t="shared" si="3"/>
        <v>0</v>
      </c>
      <c r="AM547" s="36">
        <f t="shared" si="4"/>
        <v>0</v>
      </c>
      <c r="AN547" s="36">
        <f t="shared" si="5"/>
        <v>0</v>
      </c>
      <c r="AO547" s="36">
        <f t="shared" si="6"/>
        <v>0</v>
      </c>
      <c r="AP547" s="36">
        <f t="shared" si="7"/>
        <v>0</v>
      </c>
      <c r="AQ547" s="36">
        <f t="shared" si="8"/>
        <v>0</v>
      </c>
      <c r="AR547" s="36">
        <v>1.0</v>
      </c>
      <c r="AS547" s="36">
        <f t="shared" si="9"/>
        <v>0</v>
      </c>
      <c r="AT547" s="36">
        <v>2.0</v>
      </c>
      <c r="AU547" s="36">
        <f t="shared" si="10"/>
        <v>0</v>
      </c>
      <c r="AV547" s="36">
        <v>2.0</v>
      </c>
      <c r="AW547" s="37">
        <f t="shared" si="11"/>
        <v>0</v>
      </c>
      <c r="AX547" s="37">
        <f t="shared" si="12"/>
        <v>0</v>
      </c>
      <c r="AY547" s="36"/>
    </row>
    <row r="548" ht="15.75" customHeight="1">
      <c r="A548" s="38"/>
      <c r="B548" s="24"/>
      <c r="C548" s="31"/>
      <c r="D548" s="32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>
        <f t="shared" si="1"/>
        <v>0</v>
      </c>
      <c r="AK548" s="33">
        <f t="shared" si="2"/>
        <v>0</v>
      </c>
      <c r="AL548" s="33">
        <f t="shared" si="3"/>
        <v>0</v>
      </c>
      <c r="AM548" s="33">
        <f t="shared" si="4"/>
        <v>0</v>
      </c>
      <c r="AN548" s="33">
        <f t="shared" si="5"/>
        <v>0</v>
      </c>
      <c r="AO548" s="33">
        <f t="shared" si="6"/>
        <v>0</v>
      </c>
      <c r="AP548" s="33">
        <f t="shared" si="7"/>
        <v>0</v>
      </c>
      <c r="AQ548" s="33">
        <f t="shared" si="8"/>
        <v>0</v>
      </c>
      <c r="AR548" s="33">
        <v>1.0</v>
      </c>
      <c r="AS548" s="33">
        <f t="shared" si="9"/>
        <v>0</v>
      </c>
      <c r="AT548" s="33">
        <v>2.0</v>
      </c>
      <c r="AU548" s="33">
        <f t="shared" si="10"/>
        <v>0</v>
      </c>
      <c r="AV548" s="33">
        <v>2.0</v>
      </c>
      <c r="AW548" s="34">
        <f t="shared" si="11"/>
        <v>0</v>
      </c>
      <c r="AX548" s="34">
        <f t="shared" si="12"/>
        <v>0</v>
      </c>
      <c r="AY548" s="33"/>
    </row>
    <row r="549" ht="15.75" customHeight="1">
      <c r="A549" s="38"/>
      <c r="B549" s="18"/>
      <c r="C549" s="29"/>
      <c r="D549" s="3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>
        <f t="shared" si="1"/>
        <v>0</v>
      </c>
      <c r="AK549" s="36">
        <f t="shared" si="2"/>
        <v>0</v>
      </c>
      <c r="AL549" s="36">
        <f t="shared" si="3"/>
        <v>0</v>
      </c>
      <c r="AM549" s="36">
        <f t="shared" si="4"/>
        <v>0</v>
      </c>
      <c r="AN549" s="36">
        <f t="shared" si="5"/>
        <v>0</v>
      </c>
      <c r="AO549" s="36">
        <f t="shared" si="6"/>
        <v>0</v>
      </c>
      <c r="AP549" s="36">
        <f t="shared" si="7"/>
        <v>0</v>
      </c>
      <c r="AQ549" s="36">
        <f t="shared" si="8"/>
        <v>0</v>
      </c>
      <c r="AR549" s="36">
        <v>1.0</v>
      </c>
      <c r="AS549" s="36">
        <f t="shared" si="9"/>
        <v>0</v>
      </c>
      <c r="AT549" s="36">
        <v>2.0</v>
      </c>
      <c r="AU549" s="36">
        <f t="shared" si="10"/>
        <v>0</v>
      </c>
      <c r="AV549" s="36">
        <v>2.0</v>
      </c>
      <c r="AW549" s="37">
        <f t="shared" si="11"/>
        <v>0</v>
      </c>
      <c r="AX549" s="37">
        <f t="shared" si="12"/>
        <v>0</v>
      </c>
      <c r="AY549" s="36"/>
    </row>
    <row r="550" ht="15.75" customHeight="1">
      <c r="A550" s="38"/>
      <c r="B550" s="24"/>
      <c r="C550" s="31"/>
      <c r="D550" s="32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>
        <f t="shared" si="1"/>
        <v>0</v>
      </c>
      <c r="AK550" s="33">
        <f t="shared" si="2"/>
        <v>0</v>
      </c>
      <c r="AL550" s="33">
        <f t="shared" si="3"/>
        <v>0</v>
      </c>
      <c r="AM550" s="33">
        <f t="shared" si="4"/>
        <v>0</v>
      </c>
      <c r="AN550" s="33">
        <f t="shared" si="5"/>
        <v>0</v>
      </c>
      <c r="AO550" s="33">
        <f t="shared" si="6"/>
        <v>0</v>
      </c>
      <c r="AP550" s="33">
        <f t="shared" si="7"/>
        <v>0</v>
      </c>
      <c r="AQ550" s="33">
        <f t="shared" si="8"/>
        <v>0</v>
      </c>
      <c r="AR550" s="33">
        <v>1.0</v>
      </c>
      <c r="AS550" s="33">
        <f t="shared" si="9"/>
        <v>0</v>
      </c>
      <c r="AT550" s="33">
        <v>2.0</v>
      </c>
      <c r="AU550" s="33">
        <f t="shared" si="10"/>
        <v>0</v>
      </c>
      <c r="AV550" s="33">
        <v>2.0</v>
      </c>
      <c r="AW550" s="34">
        <f t="shared" si="11"/>
        <v>0</v>
      </c>
      <c r="AX550" s="34">
        <f t="shared" si="12"/>
        <v>0</v>
      </c>
      <c r="AY550" s="33"/>
    </row>
    <row r="551" ht="15.75" customHeight="1">
      <c r="A551" s="38"/>
      <c r="B551" s="18"/>
      <c r="C551" s="29"/>
      <c r="D551" s="3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>
        <f t="shared" si="1"/>
        <v>0</v>
      </c>
      <c r="AK551" s="36">
        <f t="shared" si="2"/>
        <v>0</v>
      </c>
      <c r="AL551" s="36">
        <f t="shared" si="3"/>
        <v>0</v>
      </c>
      <c r="AM551" s="36">
        <f t="shared" si="4"/>
        <v>0</v>
      </c>
      <c r="AN551" s="36">
        <f t="shared" si="5"/>
        <v>0</v>
      </c>
      <c r="AO551" s="36">
        <f t="shared" si="6"/>
        <v>0</v>
      </c>
      <c r="AP551" s="36">
        <f t="shared" si="7"/>
        <v>0</v>
      </c>
      <c r="AQ551" s="36">
        <f t="shared" si="8"/>
        <v>0</v>
      </c>
      <c r="AR551" s="36">
        <v>1.0</v>
      </c>
      <c r="AS551" s="36">
        <f t="shared" si="9"/>
        <v>0</v>
      </c>
      <c r="AT551" s="36">
        <v>2.0</v>
      </c>
      <c r="AU551" s="36">
        <f t="shared" si="10"/>
        <v>0</v>
      </c>
      <c r="AV551" s="36">
        <v>2.0</v>
      </c>
      <c r="AW551" s="37">
        <f t="shared" si="11"/>
        <v>0</v>
      </c>
      <c r="AX551" s="37">
        <f t="shared" si="12"/>
        <v>0</v>
      </c>
      <c r="AY551" s="36"/>
    </row>
    <row r="552" ht="15.75" customHeight="1">
      <c r="A552" s="38"/>
      <c r="B552" s="24"/>
      <c r="C552" s="31"/>
      <c r="D552" s="32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>
        <f t="shared" si="1"/>
        <v>0</v>
      </c>
      <c r="AK552" s="33">
        <f t="shared" si="2"/>
        <v>0</v>
      </c>
      <c r="AL552" s="33">
        <f t="shared" si="3"/>
        <v>0</v>
      </c>
      <c r="AM552" s="33">
        <f t="shared" si="4"/>
        <v>0</v>
      </c>
      <c r="AN552" s="33">
        <f t="shared" si="5"/>
        <v>0</v>
      </c>
      <c r="AO552" s="33">
        <f t="shared" si="6"/>
        <v>0</v>
      </c>
      <c r="AP552" s="33">
        <f t="shared" si="7"/>
        <v>0</v>
      </c>
      <c r="AQ552" s="33">
        <f t="shared" si="8"/>
        <v>0</v>
      </c>
      <c r="AR552" s="33">
        <v>1.0</v>
      </c>
      <c r="AS552" s="33">
        <f t="shared" si="9"/>
        <v>0</v>
      </c>
      <c r="AT552" s="33">
        <v>2.0</v>
      </c>
      <c r="AU552" s="33">
        <f t="shared" si="10"/>
        <v>0</v>
      </c>
      <c r="AV552" s="33">
        <v>2.0</v>
      </c>
      <c r="AW552" s="34">
        <f t="shared" si="11"/>
        <v>0</v>
      </c>
      <c r="AX552" s="34">
        <f t="shared" si="12"/>
        <v>0</v>
      </c>
      <c r="AY552" s="33"/>
    </row>
    <row r="553" ht="15.75" customHeight="1">
      <c r="A553" s="38"/>
      <c r="B553" s="18"/>
      <c r="C553" s="29"/>
      <c r="D553" s="3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>
        <f t="shared" si="1"/>
        <v>0</v>
      </c>
      <c r="AK553" s="36">
        <f t="shared" si="2"/>
        <v>0</v>
      </c>
      <c r="AL553" s="36">
        <f t="shared" si="3"/>
        <v>0</v>
      </c>
      <c r="AM553" s="36">
        <f t="shared" si="4"/>
        <v>0</v>
      </c>
      <c r="AN553" s="36">
        <f t="shared" si="5"/>
        <v>0</v>
      </c>
      <c r="AO553" s="36">
        <f t="shared" si="6"/>
        <v>0</v>
      </c>
      <c r="AP553" s="36">
        <f t="shared" si="7"/>
        <v>0</v>
      </c>
      <c r="AQ553" s="36">
        <f t="shared" si="8"/>
        <v>0</v>
      </c>
      <c r="AR553" s="36">
        <v>1.0</v>
      </c>
      <c r="AS553" s="36">
        <f t="shared" si="9"/>
        <v>0</v>
      </c>
      <c r="AT553" s="36">
        <v>2.0</v>
      </c>
      <c r="AU553" s="36">
        <f t="shared" si="10"/>
        <v>0</v>
      </c>
      <c r="AV553" s="36">
        <v>2.0</v>
      </c>
      <c r="AW553" s="37">
        <f t="shared" si="11"/>
        <v>0</v>
      </c>
      <c r="AX553" s="37">
        <f t="shared" si="12"/>
        <v>0</v>
      </c>
      <c r="AY553" s="36"/>
    </row>
    <row r="554" ht="15.75" customHeight="1">
      <c r="A554" s="38"/>
      <c r="B554" s="24"/>
      <c r="C554" s="31"/>
      <c r="D554" s="32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>
        <f t="shared" si="1"/>
        <v>0</v>
      </c>
      <c r="AK554" s="33">
        <f t="shared" si="2"/>
        <v>0</v>
      </c>
      <c r="AL554" s="33">
        <f t="shared" si="3"/>
        <v>0</v>
      </c>
      <c r="AM554" s="33">
        <f t="shared" si="4"/>
        <v>0</v>
      </c>
      <c r="AN554" s="33">
        <f t="shared" si="5"/>
        <v>0</v>
      </c>
      <c r="AO554" s="33">
        <f t="shared" si="6"/>
        <v>0</v>
      </c>
      <c r="AP554" s="33">
        <f t="shared" si="7"/>
        <v>0</v>
      </c>
      <c r="AQ554" s="33">
        <f t="shared" si="8"/>
        <v>0</v>
      </c>
      <c r="AR554" s="33">
        <v>1.0</v>
      </c>
      <c r="AS554" s="33">
        <f t="shared" si="9"/>
        <v>0</v>
      </c>
      <c r="AT554" s="33">
        <v>2.0</v>
      </c>
      <c r="AU554" s="33">
        <f t="shared" si="10"/>
        <v>0</v>
      </c>
      <c r="AV554" s="33">
        <v>2.0</v>
      </c>
      <c r="AW554" s="34">
        <f t="shared" si="11"/>
        <v>0</v>
      </c>
      <c r="AX554" s="34">
        <f t="shared" si="12"/>
        <v>0</v>
      </c>
      <c r="AY554" s="33"/>
    </row>
    <row r="555" ht="15.75" customHeight="1">
      <c r="A555" s="38"/>
      <c r="B555" s="18"/>
      <c r="C555" s="29"/>
      <c r="D555" s="3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>
        <f t="shared" si="1"/>
        <v>0</v>
      </c>
      <c r="AK555" s="36">
        <f t="shared" si="2"/>
        <v>0</v>
      </c>
      <c r="AL555" s="36">
        <f t="shared" si="3"/>
        <v>0</v>
      </c>
      <c r="AM555" s="36">
        <f t="shared" si="4"/>
        <v>0</v>
      </c>
      <c r="AN555" s="36">
        <f t="shared" si="5"/>
        <v>0</v>
      </c>
      <c r="AO555" s="36">
        <f t="shared" si="6"/>
        <v>0</v>
      </c>
      <c r="AP555" s="36">
        <f t="shared" si="7"/>
        <v>0</v>
      </c>
      <c r="AQ555" s="36">
        <f t="shared" si="8"/>
        <v>0</v>
      </c>
      <c r="AR555" s="36">
        <v>1.0</v>
      </c>
      <c r="AS555" s="36">
        <f t="shared" si="9"/>
        <v>0</v>
      </c>
      <c r="AT555" s="36">
        <v>2.0</v>
      </c>
      <c r="AU555" s="36">
        <f t="shared" si="10"/>
        <v>0</v>
      </c>
      <c r="AV555" s="36">
        <v>2.0</v>
      </c>
      <c r="AW555" s="37">
        <f t="shared" si="11"/>
        <v>0</v>
      </c>
      <c r="AX555" s="37">
        <f t="shared" si="12"/>
        <v>0</v>
      </c>
      <c r="AY555" s="36"/>
    </row>
    <row r="556" ht="15.75" customHeight="1">
      <c r="A556" s="38"/>
      <c r="B556" s="24"/>
      <c r="C556" s="31"/>
      <c r="D556" s="32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>
        <f t="shared" si="1"/>
        <v>0</v>
      </c>
      <c r="AK556" s="33">
        <f t="shared" si="2"/>
        <v>0</v>
      </c>
      <c r="AL556" s="33">
        <f t="shared" si="3"/>
        <v>0</v>
      </c>
      <c r="AM556" s="33">
        <f t="shared" si="4"/>
        <v>0</v>
      </c>
      <c r="AN556" s="33">
        <f t="shared" si="5"/>
        <v>0</v>
      </c>
      <c r="AO556" s="33">
        <f t="shared" si="6"/>
        <v>0</v>
      </c>
      <c r="AP556" s="33">
        <f t="shared" si="7"/>
        <v>0</v>
      </c>
      <c r="AQ556" s="33">
        <f t="shared" si="8"/>
        <v>0</v>
      </c>
      <c r="AR556" s="33">
        <v>1.0</v>
      </c>
      <c r="AS556" s="33">
        <f t="shared" si="9"/>
        <v>0</v>
      </c>
      <c r="AT556" s="33">
        <v>2.0</v>
      </c>
      <c r="AU556" s="33">
        <f t="shared" si="10"/>
        <v>0</v>
      </c>
      <c r="AV556" s="33">
        <v>2.0</v>
      </c>
      <c r="AW556" s="34">
        <f t="shared" si="11"/>
        <v>0</v>
      </c>
      <c r="AX556" s="34">
        <f t="shared" si="12"/>
        <v>0</v>
      </c>
      <c r="AY556" s="33"/>
    </row>
    <row r="557" ht="15.75" customHeight="1">
      <c r="A557" s="38"/>
      <c r="B557" s="18"/>
      <c r="C557" s="29"/>
      <c r="D557" s="3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>
        <f t="shared" si="1"/>
        <v>0</v>
      </c>
      <c r="AK557" s="36">
        <f t="shared" si="2"/>
        <v>0</v>
      </c>
      <c r="AL557" s="36">
        <f t="shared" si="3"/>
        <v>0</v>
      </c>
      <c r="AM557" s="36">
        <f t="shared" si="4"/>
        <v>0</v>
      </c>
      <c r="AN557" s="36">
        <f t="shared" si="5"/>
        <v>0</v>
      </c>
      <c r="AO557" s="36">
        <f t="shared" si="6"/>
        <v>0</v>
      </c>
      <c r="AP557" s="36">
        <f t="shared" si="7"/>
        <v>0</v>
      </c>
      <c r="AQ557" s="36">
        <f t="shared" si="8"/>
        <v>0</v>
      </c>
      <c r="AR557" s="36">
        <v>1.0</v>
      </c>
      <c r="AS557" s="36">
        <f t="shared" si="9"/>
        <v>0</v>
      </c>
      <c r="AT557" s="36">
        <v>2.0</v>
      </c>
      <c r="AU557" s="36">
        <f t="shared" si="10"/>
        <v>0</v>
      </c>
      <c r="AV557" s="36">
        <v>2.0</v>
      </c>
      <c r="AW557" s="37">
        <f t="shared" si="11"/>
        <v>0</v>
      </c>
      <c r="AX557" s="37">
        <f t="shared" si="12"/>
        <v>0</v>
      </c>
      <c r="AY557" s="36"/>
    </row>
    <row r="558" ht="15.75" customHeight="1">
      <c r="A558" s="38"/>
      <c r="B558" s="24"/>
      <c r="C558" s="31"/>
      <c r="D558" s="32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>
        <f t="shared" si="1"/>
        <v>0</v>
      </c>
      <c r="AK558" s="33">
        <f t="shared" si="2"/>
        <v>0</v>
      </c>
      <c r="AL558" s="33">
        <f t="shared" si="3"/>
        <v>0</v>
      </c>
      <c r="AM558" s="33">
        <f t="shared" si="4"/>
        <v>0</v>
      </c>
      <c r="AN558" s="33">
        <f t="shared" si="5"/>
        <v>0</v>
      </c>
      <c r="AO558" s="33">
        <f t="shared" si="6"/>
        <v>0</v>
      </c>
      <c r="AP558" s="33">
        <f t="shared" si="7"/>
        <v>0</v>
      </c>
      <c r="AQ558" s="33">
        <f t="shared" si="8"/>
        <v>0</v>
      </c>
      <c r="AR558" s="33">
        <v>1.0</v>
      </c>
      <c r="AS558" s="33">
        <f t="shared" si="9"/>
        <v>0</v>
      </c>
      <c r="AT558" s="33">
        <v>2.0</v>
      </c>
      <c r="AU558" s="33">
        <f t="shared" si="10"/>
        <v>0</v>
      </c>
      <c r="AV558" s="33">
        <v>2.0</v>
      </c>
      <c r="AW558" s="34">
        <f t="shared" si="11"/>
        <v>0</v>
      </c>
      <c r="AX558" s="34">
        <f t="shared" si="12"/>
        <v>0</v>
      </c>
      <c r="AY558" s="33"/>
    </row>
    <row r="559" ht="15.75" customHeight="1">
      <c r="A559" s="38"/>
      <c r="B559" s="18"/>
      <c r="C559" s="29"/>
      <c r="D559" s="3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>
        <f t="shared" si="1"/>
        <v>0</v>
      </c>
      <c r="AK559" s="36">
        <f t="shared" si="2"/>
        <v>0</v>
      </c>
      <c r="AL559" s="36">
        <f t="shared" si="3"/>
        <v>0</v>
      </c>
      <c r="AM559" s="36">
        <f t="shared" si="4"/>
        <v>0</v>
      </c>
      <c r="AN559" s="36">
        <f t="shared" si="5"/>
        <v>0</v>
      </c>
      <c r="AO559" s="36">
        <f t="shared" si="6"/>
        <v>0</v>
      </c>
      <c r="AP559" s="36">
        <f t="shared" si="7"/>
        <v>0</v>
      </c>
      <c r="AQ559" s="36">
        <f t="shared" si="8"/>
        <v>0</v>
      </c>
      <c r="AR559" s="36">
        <v>1.0</v>
      </c>
      <c r="AS559" s="36">
        <f t="shared" si="9"/>
        <v>0</v>
      </c>
      <c r="AT559" s="36">
        <v>2.0</v>
      </c>
      <c r="AU559" s="36">
        <f t="shared" si="10"/>
        <v>0</v>
      </c>
      <c r="AV559" s="36">
        <v>2.0</v>
      </c>
      <c r="AW559" s="37">
        <f t="shared" si="11"/>
        <v>0</v>
      </c>
      <c r="AX559" s="37">
        <f t="shared" si="12"/>
        <v>0</v>
      </c>
      <c r="AY559" s="36"/>
    </row>
    <row r="560" ht="15.75" customHeight="1">
      <c r="A560" s="38"/>
      <c r="B560" s="24"/>
      <c r="C560" s="31"/>
      <c r="D560" s="32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>
        <f t="shared" si="1"/>
        <v>0</v>
      </c>
      <c r="AK560" s="33">
        <f t="shared" si="2"/>
        <v>0</v>
      </c>
      <c r="AL560" s="33">
        <f t="shared" si="3"/>
        <v>0</v>
      </c>
      <c r="AM560" s="33">
        <f t="shared" si="4"/>
        <v>0</v>
      </c>
      <c r="AN560" s="33">
        <f t="shared" si="5"/>
        <v>0</v>
      </c>
      <c r="AO560" s="33">
        <f t="shared" si="6"/>
        <v>0</v>
      </c>
      <c r="AP560" s="33">
        <f t="shared" si="7"/>
        <v>0</v>
      </c>
      <c r="AQ560" s="33">
        <f t="shared" si="8"/>
        <v>0</v>
      </c>
      <c r="AR560" s="33">
        <v>1.0</v>
      </c>
      <c r="AS560" s="33">
        <f t="shared" si="9"/>
        <v>0</v>
      </c>
      <c r="AT560" s="33">
        <v>2.0</v>
      </c>
      <c r="AU560" s="33">
        <f t="shared" si="10"/>
        <v>0</v>
      </c>
      <c r="AV560" s="33">
        <v>2.0</v>
      </c>
      <c r="AW560" s="34">
        <f t="shared" si="11"/>
        <v>0</v>
      </c>
      <c r="AX560" s="34">
        <f t="shared" si="12"/>
        <v>0</v>
      </c>
      <c r="AY560" s="33"/>
    </row>
    <row r="561" ht="15.75" customHeight="1">
      <c r="A561" s="38"/>
      <c r="B561" s="18"/>
      <c r="C561" s="29"/>
      <c r="D561" s="3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>
        <f t="shared" si="1"/>
        <v>0</v>
      </c>
      <c r="AK561" s="36">
        <f t="shared" si="2"/>
        <v>0</v>
      </c>
      <c r="AL561" s="36">
        <f t="shared" si="3"/>
        <v>0</v>
      </c>
      <c r="AM561" s="36">
        <f t="shared" si="4"/>
        <v>0</v>
      </c>
      <c r="AN561" s="36">
        <f t="shared" si="5"/>
        <v>0</v>
      </c>
      <c r="AO561" s="36">
        <f t="shared" si="6"/>
        <v>0</v>
      </c>
      <c r="AP561" s="36">
        <f t="shared" si="7"/>
        <v>0</v>
      </c>
      <c r="AQ561" s="36">
        <f t="shared" si="8"/>
        <v>0</v>
      </c>
      <c r="AR561" s="36">
        <v>1.0</v>
      </c>
      <c r="AS561" s="36">
        <f t="shared" si="9"/>
        <v>0</v>
      </c>
      <c r="AT561" s="36">
        <v>2.0</v>
      </c>
      <c r="AU561" s="36">
        <f t="shared" si="10"/>
        <v>0</v>
      </c>
      <c r="AV561" s="36">
        <v>2.0</v>
      </c>
      <c r="AW561" s="37">
        <f t="shared" si="11"/>
        <v>0</v>
      </c>
      <c r="AX561" s="37">
        <f t="shared" si="12"/>
        <v>0</v>
      </c>
      <c r="AY561" s="36"/>
    </row>
    <row r="562" ht="15.75" customHeight="1">
      <c r="A562" s="38"/>
      <c r="B562" s="24"/>
      <c r="C562" s="31"/>
      <c r="D562" s="32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>
        <f t="shared" si="1"/>
        <v>0</v>
      </c>
      <c r="AK562" s="33">
        <f t="shared" si="2"/>
        <v>0</v>
      </c>
      <c r="AL562" s="33">
        <f t="shared" si="3"/>
        <v>0</v>
      </c>
      <c r="AM562" s="33">
        <f t="shared" si="4"/>
        <v>0</v>
      </c>
      <c r="AN562" s="33">
        <f t="shared" si="5"/>
        <v>0</v>
      </c>
      <c r="AO562" s="33">
        <f t="shared" si="6"/>
        <v>0</v>
      </c>
      <c r="AP562" s="33">
        <f t="shared" si="7"/>
        <v>0</v>
      </c>
      <c r="AQ562" s="33">
        <f t="shared" si="8"/>
        <v>0</v>
      </c>
      <c r="AR562" s="33">
        <v>1.0</v>
      </c>
      <c r="AS562" s="33">
        <f t="shared" si="9"/>
        <v>0</v>
      </c>
      <c r="AT562" s="33">
        <v>2.0</v>
      </c>
      <c r="AU562" s="33">
        <f t="shared" si="10"/>
        <v>0</v>
      </c>
      <c r="AV562" s="33">
        <v>2.0</v>
      </c>
      <c r="AW562" s="34">
        <f t="shared" si="11"/>
        <v>0</v>
      </c>
      <c r="AX562" s="34">
        <f t="shared" si="12"/>
        <v>0</v>
      </c>
      <c r="AY562" s="33"/>
    </row>
    <row r="563" ht="15.75" customHeight="1">
      <c r="A563" s="38"/>
      <c r="B563" s="18"/>
      <c r="C563" s="29"/>
      <c r="D563" s="3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>
        <f t="shared" si="1"/>
        <v>0</v>
      </c>
      <c r="AK563" s="36">
        <f t="shared" si="2"/>
        <v>0</v>
      </c>
      <c r="AL563" s="36">
        <f t="shared" si="3"/>
        <v>0</v>
      </c>
      <c r="AM563" s="36">
        <f t="shared" si="4"/>
        <v>0</v>
      </c>
      <c r="AN563" s="36">
        <f t="shared" si="5"/>
        <v>0</v>
      </c>
      <c r="AO563" s="36">
        <f t="shared" si="6"/>
        <v>0</v>
      </c>
      <c r="AP563" s="36">
        <f t="shared" si="7"/>
        <v>0</v>
      </c>
      <c r="AQ563" s="36">
        <f t="shared" si="8"/>
        <v>0</v>
      </c>
      <c r="AR563" s="36">
        <v>1.0</v>
      </c>
      <c r="AS563" s="36">
        <f t="shared" si="9"/>
        <v>0</v>
      </c>
      <c r="AT563" s="36">
        <v>2.0</v>
      </c>
      <c r="AU563" s="36">
        <f t="shared" si="10"/>
        <v>0</v>
      </c>
      <c r="AV563" s="36">
        <v>2.0</v>
      </c>
      <c r="AW563" s="37">
        <f t="shared" si="11"/>
        <v>0</v>
      </c>
      <c r="AX563" s="37">
        <f t="shared" si="12"/>
        <v>0</v>
      </c>
      <c r="AY563" s="36"/>
    </row>
    <row r="564" ht="15.75" customHeight="1">
      <c r="A564" s="38"/>
      <c r="B564" s="24"/>
      <c r="C564" s="31"/>
      <c r="D564" s="32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>
        <f t="shared" si="1"/>
        <v>0</v>
      </c>
      <c r="AK564" s="33">
        <f t="shared" si="2"/>
        <v>0</v>
      </c>
      <c r="AL564" s="33">
        <f t="shared" si="3"/>
        <v>0</v>
      </c>
      <c r="AM564" s="33">
        <f t="shared" si="4"/>
        <v>0</v>
      </c>
      <c r="AN564" s="33">
        <f t="shared" si="5"/>
        <v>0</v>
      </c>
      <c r="AO564" s="33">
        <f t="shared" si="6"/>
        <v>0</v>
      </c>
      <c r="AP564" s="33">
        <f t="shared" si="7"/>
        <v>0</v>
      </c>
      <c r="AQ564" s="33">
        <f t="shared" si="8"/>
        <v>0</v>
      </c>
      <c r="AR564" s="33">
        <v>1.0</v>
      </c>
      <c r="AS564" s="33">
        <f t="shared" si="9"/>
        <v>0</v>
      </c>
      <c r="AT564" s="33">
        <v>2.0</v>
      </c>
      <c r="AU564" s="33">
        <f t="shared" si="10"/>
        <v>0</v>
      </c>
      <c r="AV564" s="33">
        <v>2.0</v>
      </c>
      <c r="AW564" s="34">
        <f t="shared" si="11"/>
        <v>0</v>
      </c>
      <c r="AX564" s="34">
        <f t="shared" si="12"/>
        <v>0</v>
      </c>
      <c r="AY564" s="33"/>
    </row>
    <row r="565" ht="15.75" customHeight="1">
      <c r="A565" s="38"/>
      <c r="B565" s="18"/>
      <c r="C565" s="29"/>
      <c r="D565" s="3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>
        <f t="shared" si="1"/>
        <v>0</v>
      </c>
      <c r="AK565" s="36">
        <f t="shared" si="2"/>
        <v>0</v>
      </c>
      <c r="AL565" s="36">
        <f t="shared" si="3"/>
        <v>0</v>
      </c>
      <c r="AM565" s="36">
        <f t="shared" si="4"/>
        <v>0</v>
      </c>
      <c r="AN565" s="36">
        <f t="shared" si="5"/>
        <v>0</v>
      </c>
      <c r="AO565" s="36">
        <f t="shared" si="6"/>
        <v>0</v>
      </c>
      <c r="AP565" s="36">
        <f t="shared" si="7"/>
        <v>0</v>
      </c>
      <c r="AQ565" s="36">
        <f t="shared" si="8"/>
        <v>0</v>
      </c>
      <c r="AR565" s="36">
        <v>1.0</v>
      </c>
      <c r="AS565" s="36">
        <f t="shared" si="9"/>
        <v>0</v>
      </c>
      <c r="AT565" s="36">
        <v>2.0</v>
      </c>
      <c r="AU565" s="36">
        <f t="shared" si="10"/>
        <v>0</v>
      </c>
      <c r="AV565" s="36">
        <v>2.0</v>
      </c>
      <c r="AW565" s="37">
        <f t="shared" si="11"/>
        <v>0</v>
      </c>
      <c r="AX565" s="37">
        <f t="shared" si="12"/>
        <v>0</v>
      </c>
      <c r="AY565" s="36"/>
    </row>
    <row r="566" ht="15.75" customHeight="1">
      <c r="A566" s="38"/>
      <c r="B566" s="24"/>
      <c r="C566" s="31"/>
      <c r="D566" s="32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>
        <f t="shared" si="1"/>
        <v>0</v>
      </c>
      <c r="AK566" s="33">
        <f t="shared" si="2"/>
        <v>0</v>
      </c>
      <c r="AL566" s="33">
        <f t="shared" si="3"/>
        <v>0</v>
      </c>
      <c r="AM566" s="33">
        <f t="shared" si="4"/>
        <v>0</v>
      </c>
      <c r="AN566" s="33">
        <f t="shared" si="5"/>
        <v>0</v>
      </c>
      <c r="AO566" s="33">
        <f t="shared" si="6"/>
        <v>0</v>
      </c>
      <c r="AP566" s="33">
        <f t="shared" si="7"/>
        <v>0</v>
      </c>
      <c r="AQ566" s="33">
        <f t="shared" si="8"/>
        <v>0</v>
      </c>
      <c r="AR566" s="33">
        <v>1.0</v>
      </c>
      <c r="AS566" s="33">
        <f t="shared" si="9"/>
        <v>0</v>
      </c>
      <c r="AT566" s="33">
        <v>2.0</v>
      </c>
      <c r="AU566" s="33">
        <f t="shared" si="10"/>
        <v>0</v>
      </c>
      <c r="AV566" s="33">
        <v>2.0</v>
      </c>
      <c r="AW566" s="34">
        <f t="shared" si="11"/>
        <v>0</v>
      </c>
      <c r="AX566" s="34">
        <f t="shared" si="12"/>
        <v>0</v>
      </c>
      <c r="AY566" s="33"/>
    </row>
    <row r="567" ht="15.75" customHeight="1">
      <c r="A567" s="38"/>
      <c r="B567" s="18"/>
      <c r="C567" s="29"/>
      <c r="D567" s="3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>
        <f t="shared" si="1"/>
        <v>0</v>
      </c>
      <c r="AK567" s="36">
        <f t="shared" si="2"/>
        <v>0</v>
      </c>
      <c r="AL567" s="36">
        <f t="shared" si="3"/>
        <v>0</v>
      </c>
      <c r="AM567" s="36">
        <f t="shared" si="4"/>
        <v>0</v>
      </c>
      <c r="AN567" s="36">
        <f t="shared" si="5"/>
        <v>0</v>
      </c>
      <c r="AO567" s="36">
        <f t="shared" si="6"/>
        <v>0</v>
      </c>
      <c r="AP567" s="36">
        <f t="shared" si="7"/>
        <v>0</v>
      </c>
      <c r="AQ567" s="36">
        <f t="shared" si="8"/>
        <v>0</v>
      </c>
      <c r="AR567" s="36">
        <v>1.0</v>
      </c>
      <c r="AS567" s="36">
        <f t="shared" si="9"/>
        <v>0</v>
      </c>
      <c r="AT567" s="36">
        <v>2.0</v>
      </c>
      <c r="AU567" s="36">
        <f t="shared" si="10"/>
        <v>0</v>
      </c>
      <c r="AV567" s="36">
        <v>2.0</v>
      </c>
      <c r="AW567" s="37">
        <f t="shared" si="11"/>
        <v>0</v>
      </c>
      <c r="AX567" s="37">
        <f t="shared" si="12"/>
        <v>0</v>
      </c>
      <c r="AY567" s="36"/>
    </row>
    <row r="568" ht="15.75" customHeight="1">
      <c r="A568" s="38"/>
      <c r="B568" s="24"/>
      <c r="C568" s="31"/>
      <c r="D568" s="32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>
        <f t="shared" si="1"/>
        <v>0</v>
      </c>
      <c r="AK568" s="33">
        <f t="shared" si="2"/>
        <v>0</v>
      </c>
      <c r="AL568" s="33">
        <f t="shared" si="3"/>
        <v>0</v>
      </c>
      <c r="AM568" s="33">
        <f t="shared" si="4"/>
        <v>0</v>
      </c>
      <c r="AN568" s="33">
        <f t="shared" si="5"/>
        <v>0</v>
      </c>
      <c r="AO568" s="33">
        <f t="shared" si="6"/>
        <v>0</v>
      </c>
      <c r="AP568" s="33">
        <f t="shared" si="7"/>
        <v>0</v>
      </c>
      <c r="AQ568" s="33">
        <f t="shared" si="8"/>
        <v>0</v>
      </c>
      <c r="AR568" s="33">
        <v>1.0</v>
      </c>
      <c r="AS568" s="33">
        <f t="shared" si="9"/>
        <v>0</v>
      </c>
      <c r="AT568" s="33">
        <v>2.0</v>
      </c>
      <c r="AU568" s="33">
        <f t="shared" si="10"/>
        <v>0</v>
      </c>
      <c r="AV568" s="33">
        <v>2.0</v>
      </c>
      <c r="AW568" s="34">
        <f t="shared" si="11"/>
        <v>0</v>
      </c>
      <c r="AX568" s="34">
        <f t="shared" si="12"/>
        <v>0</v>
      </c>
      <c r="AY568" s="33"/>
    </row>
    <row r="569" ht="15.75" customHeight="1">
      <c r="A569" s="38"/>
      <c r="B569" s="18"/>
      <c r="C569" s="29"/>
      <c r="D569" s="3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>
        <f t="shared" si="1"/>
        <v>0</v>
      </c>
      <c r="AK569" s="36">
        <f t="shared" si="2"/>
        <v>0</v>
      </c>
      <c r="AL569" s="36">
        <f t="shared" si="3"/>
        <v>0</v>
      </c>
      <c r="AM569" s="36">
        <f t="shared" si="4"/>
        <v>0</v>
      </c>
      <c r="AN569" s="36">
        <f t="shared" si="5"/>
        <v>0</v>
      </c>
      <c r="AO569" s="36">
        <f t="shared" si="6"/>
        <v>0</v>
      </c>
      <c r="AP569" s="36">
        <f t="shared" si="7"/>
        <v>0</v>
      </c>
      <c r="AQ569" s="36">
        <f t="shared" si="8"/>
        <v>0</v>
      </c>
      <c r="AR569" s="36">
        <v>1.0</v>
      </c>
      <c r="AS569" s="36">
        <f t="shared" si="9"/>
        <v>0</v>
      </c>
      <c r="AT569" s="36">
        <v>2.0</v>
      </c>
      <c r="AU569" s="36">
        <f t="shared" si="10"/>
        <v>0</v>
      </c>
      <c r="AV569" s="36">
        <v>2.0</v>
      </c>
      <c r="AW569" s="37">
        <f t="shared" si="11"/>
        <v>0</v>
      </c>
      <c r="AX569" s="37">
        <f t="shared" si="12"/>
        <v>0</v>
      </c>
      <c r="AY569" s="36"/>
    </row>
    <row r="570" ht="15.75" customHeight="1">
      <c r="A570" s="38"/>
      <c r="B570" s="24"/>
      <c r="C570" s="31"/>
      <c r="D570" s="32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>
        <f t="shared" si="1"/>
        <v>0</v>
      </c>
      <c r="AK570" s="33">
        <f t="shared" si="2"/>
        <v>0</v>
      </c>
      <c r="AL570" s="33">
        <f t="shared" si="3"/>
        <v>0</v>
      </c>
      <c r="AM570" s="33">
        <f t="shared" si="4"/>
        <v>0</v>
      </c>
      <c r="AN570" s="33">
        <f t="shared" si="5"/>
        <v>0</v>
      </c>
      <c r="AO570" s="33">
        <f t="shared" si="6"/>
        <v>0</v>
      </c>
      <c r="AP570" s="33">
        <f t="shared" si="7"/>
        <v>0</v>
      </c>
      <c r="AQ570" s="33">
        <f t="shared" si="8"/>
        <v>0</v>
      </c>
      <c r="AR570" s="33">
        <v>1.0</v>
      </c>
      <c r="AS570" s="33">
        <f t="shared" si="9"/>
        <v>0</v>
      </c>
      <c r="AT570" s="33">
        <v>2.0</v>
      </c>
      <c r="AU570" s="33">
        <f t="shared" si="10"/>
        <v>0</v>
      </c>
      <c r="AV570" s="33">
        <v>2.0</v>
      </c>
      <c r="AW570" s="34">
        <f t="shared" si="11"/>
        <v>0</v>
      </c>
      <c r="AX570" s="34">
        <f t="shared" si="12"/>
        <v>0</v>
      </c>
      <c r="AY570" s="33"/>
    </row>
    <row r="571" ht="15.75" customHeight="1">
      <c r="A571" s="38"/>
      <c r="B571" s="18"/>
      <c r="C571" s="29"/>
      <c r="D571" s="3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>
        <f t="shared" si="1"/>
        <v>0</v>
      </c>
      <c r="AK571" s="36">
        <f t="shared" si="2"/>
        <v>0</v>
      </c>
      <c r="AL571" s="36">
        <f t="shared" si="3"/>
        <v>0</v>
      </c>
      <c r="AM571" s="36">
        <f t="shared" si="4"/>
        <v>0</v>
      </c>
      <c r="AN571" s="36">
        <f t="shared" si="5"/>
        <v>0</v>
      </c>
      <c r="AO571" s="36">
        <f t="shared" si="6"/>
        <v>0</v>
      </c>
      <c r="AP571" s="36">
        <f t="shared" si="7"/>
        <v>0</v>
      </c>
      <c r="AQ571" s="36">
        <f t="shared" si="8"/>
        <v>0</v>
      </c>
      <c r="AR571" s="36">
        <v>1.0</v>
      </c>
      <c r="AS571" s="36">
        <f t="shared" si="9"/>
        <v>0</v>
      </c>
      <c r="AT571" s="36">
        <v>2.0</v>
      </c>
      <c r="AU571" s="36">
        <f t="shared" si="10"/>
        <v>0</v>
      </c>
      <c r="AV571" s="36">
        <v>2.0</v>
      </c>
      <c r="AW571" s="37">
        <f t="shared" si="11"/>
        <v>0</v>
      </c>
      <c r="AX571" s="37">
        <f t="shared" si="12"/>
        <v>0</v>
      </c>
      <c r="AY571" s="36"/>
    </row>
    <row r="572" ht="15.75" customHeight="1">
      <c r="A572" s="38"/>
      <c r="B572" s="24"/>
      <c r="C572" s="31"/>
      <c r="D572" s="32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>
        <f t="shared" si="1"/>
        <v>0</v>
      </c>
      <c r="AK572" s="33">
        <f t="shared" si="2"/>
        <v>0</v>
      </c>
      <c r="AL572" s="33">
        <f t="shared" si="3"/>
        <v>0</v>
      </c>
      <c r="AM572" s="33">
        <f t="shared" si="4"/>
        <v>0</v>
      </c>
      <c r="AN572" s="33">
        <f t="shared" si="5"/>
        <v>0</v>
      </c>
      <c r="AO572" s="33">
        <f t="shared" si="6"/>
        <v>0</v>
      </c>
      <c r="AP572" s="33">
        <f t="shared" si="7"/>
        <v>0</v>
      </c>
      <c r="AQ572" s="33">
        <f t="shared" si="8"/>
        <v>0</v>
      </c>
      <c r="AR572" s="33">
        <v>1.0</v>
      </c>
      <c r="AS572" s="33">
        <f t="shared" si="9"/>
        <v>0</v>
      </c>
      <c r="AT572" s="33">
        <v>2.0</v>
      </c>
      <c r="AU572" s="33">
        <f t="shared" si="10"/>
        <v>0</v>
      </c>
      <c r="AV572" s="33">
        <v>2.0</v>
      </c>
      <c r="AW572" s="34">
        <f t="shared" si="11"/>
        <v>0</v>
      </c>
      <c r="AX572" s="34">
        <f t="shared" si="12"/>
        <v>0</v>
      </c>
      <c r="AY572" s="33"/>
    </row>
    <row r="573" ht="15.75" customHeight="1">
      <c r="A573" s="38"/>
      <c r="B573" s="18"/>
      <c r="C573" s="29"/>
      <c r="D573" s="35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>
        <f t="shared" si="1"/>
        <v>0</v>
      </c>
      <c r="AK573" s="36">
        <f t="shared" si="2"/>
        <v>0</v>
      </c>
      <c r="AL573" s="36">
        <f t="shared" si="3"/>
        <v>0</v>
      </c>
      <c r="AM573" s="36">
        <f t="shared" si="4"/>
        <v>0</v>
      </c>
      <c r="AN573" s="36">
        <f t="shared" si="5"/>
        <v>0</v>
      </c>
      <c r="AO573" s="36">
        <f t="shared" si="6"/>
        <v>0</v>
      </c>
      <c r="AP573" s="36">
        <f t="shared" si="7"/>
        <v>0</v>
      </c>
      <c r="AQ573" s="36">
        <f t="shared" si="8"/>
        <v>0</v>
      </c>
      <c r="AR573" s="36">
        <v>1.0</v>
      </c>
      <c r="AS573" s="36">
        <f t="shared" si="9"/>
        <v>0</v>
      </c>
      <c r="AT573" s="36">
        <v>2.0</v>
      </c>
      <c r="AU573" s="36">
        <f t="shared" si="10"/>
        <v>0</v>
      </c>
      <c r="AV573" s="36">
        <v>2.0</v>
      </c>
      <c r="AW573" s="37">
        <f t="shared" si="11"/>
        <v>0</v>
      </c>
      <c r="AX573" s="37">
        <f t="shared" si="12"/>
        <v>0</v>
      </c>
      <c r="AY573" s="36"/>
    </row>
    <row r="574" ht="15.75" customHeight="1">
      <c r="A574" s="38"/>
      <c r="B574" s="24"/>
      <c r="C574" s="31"/>
      <c r="D574" s="32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>
        <f t="shared" si="1"/>
        <v>0</v>
      </c>
      <c r="AK574" s="33">
        <f t="shared" si="2"/>
        <v>0</v>
      </c>
      <c r="AL574" s="33">
        <f t="shared" si="3"/>
        <v>0</v>
      </c>
      <c r="AM574" s="33">
        <f t="shared" si="4"/>
        <v>0</v>
      </c>
      <c r="AN574" s="33">
        <f t="shared" si="5"/>
        <v>0</v>
      </c>
      <c r="AO574" s="33">
        <f t="shared" si="6"/>
        <v>0</v>
      </c>
      <c r="AP574" s="33">
        <f t="shared" si="7"/>
        <v>0</v>
      </c>
      <c r="AQ574" s="33">
        <f t="shared" si="8"/>
        <v>0</v>
      </c>
      <c r="AR574" s="33">
        <v>1.0</v>
      </c>
      <c r="AS574" s="33">
        <f t="shared" si="9"/>
        <v>0</v>
      </c>
      <c r="AT574" s="33">
        <v>2.0</v>
      </c>
      <c r="AU574" s="33">
        <f t="shared" si="10"/>
        <v>0</v>
      </c>
      <c r="AV574" s="33">
        <v>2.0</v>
      </c>
      <c r="AW574" s="34">
        <f t="shared" si="11"/>
        <v>0</v>
      </c>
      <c r="AX574" s="34">
        <f t="shared" si="12"/>
        <v>0</v>
      </c>
      <c r="AY574" s="33"/>
    </row>
    <row r="575" ht="15.75" customHeight="1">
      <c r="A575" s="38"/>
      <c r="B575" s="18"/>
      <c r="C575" s="29"/>
      <c r="D575" s="35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>
        <f t="shared" si="1"/>
        <v>0</v>
      </c>
      <c r="AK575" s="36">
        <f t="shared" si="2"/>
        <v>0</v>
      </c>
      <c r="AL575" s="36">
        <f t="shared" si="3"/>
        <v>0</v>
      </c>
      <c r="AM575" s="36">
        <f t="shared" si="4"/>
        <v>0</v>
      </c>
      <c r="AN575" s="36">
        <f t="shared" si="5"/>
        <v>0</v>
      </c>
      <c r="AO575" s="36">
        <f t="shared" si="6"/>
        <v>0</v>
      </c>
      <c r="AP575" s="36">
        <f t="shared" si="7"/>
        <v>0</v>
      </c>
      <c r="AQ575" s="36">
        <f t="shared" si="8"/>
        <v>0</v>
      </c>
      <c r="AR575" s="36">
        <v>1.0</v>
      </c>
      <c r="AS575" s="36">
        <f t="shared" si="9"/>
        <v>0</v>
      </c>
      <c r="AT575" s="36">
        <v>2.0</v>
      </c>
      <c r="AU575" s="36">
        <f t="shared" si="10"/>
        <v>0</v>
      </c>
      <c r="AV575" s="36">
        <v>2.0</v>
      </c>
      <c r="AW575" s="37">
        <f t="shared" si="11"/>
        <v>0</v>
      </c>
      <c r="AX575" s="37">
        <f t="shared" si="12"/>
        <v>0</v>
      </c>
      <c r="AY575" s="36"/>
    </row>
    <row r="576" ht="15.75" customHeight="1">
      <c r="A576" s="38"/>
      <c r="B576" s="24"/>
      <c r="C576" s="31"/>
      <c r="D576" s="32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>
        <f t="shared" si="1"/>
        <v>0</v>
      </c>
      <c r="AK576" s="33">
        <f t="shared" si="2"/>
        <v>0</v>
      </c>
      <c r="AL576" s="33">
        <f t="shared" si="3"/>
        <v>0</v>
      </c>
      <c r="AM576" s="33">
        <f t="shared" si="4"/>
        <v>0</v>
      </c>
      <c r="AN576" s="33">
        <f t="shared" si="5"/>
        <v>0</v>
      </c>
      <c r="AO576" s="33">
        <f t="shared" si="6"/>
        <v>0</v>
      </c>
      <c r="AP576" s="33">
        <f t="shared" si="7"/>
        <v>0</v>
      </c>
      <c r="AQ576" s="33">
        <f t="shared" si="8"/>
        <v>0</v>
      </c>
      <c r="AR576" s="33">
        <v>1.0</v>
      </c>
      <c r="AS576" s="33">
        <f t="shared" si="9"/>
        <v>0</v>
      </c>
      <c r="AT576" s="33">
        <v>2.0</v>
      </c>
      <c r="AU576" s="33">
        <f t="shared" si="10"/>
        <v>0</v>
      </c>
      <c r="AV576" s="33">
        <v>2.0</v>
      </c>
      <c r="AW576" s="34">
        <f t="shared" si="11"/>
        <v>0</v>
      </c>
      <c r="AX576" s="34">
        <f t="shared" si="12"/>
        <v>0</v>
      </c>
      <c r="AY576" s="33"/>
    </row>
    <row r="577" ht="15.75" customHeight="1">
      <c r="A577" s="38"/>
      <c r="B577" s="18"/>
      <c r="C577" s="29"/>
      <c r="D577" s="35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>
        <f t="shared" si="1"/>
        <v>0</v>
      </c>
      <c r="AK577" s="36">
        <f t="shared" si="2"/>
        <v>0</v>
      </c>
      <c r="AL577" s="36">
        <f t="shared" si="3"/>
        <v>0</v>
      </c>
      <c r="AM577" s="36">
        <f t="shared" si="4"/>
        <v>0</v>
      </c>
      <c r="AN577" s="36">
        <f t="shared" si="5"/>
        <v>0</v>
      </c>
      <c r="AO577" s="36">
        <f t="shared" si="6"/>
        <v>0</v>
      </c>
      <c r="AP577" s="36">
        <f t="shared" si="7"/>
        <v>0</v>
      </c>
      <c r="AQ577" s="36">
        <f t="shared" si="8"/>
        <v>0</v>
      </c>
      <c r="AR577" s="36">
        <v>1.0</v>
      </c>
      <c r="AS577" s="36">
        <f t="shared" si="9"/>
        <v>0</v>
      </c>
      <c r="AT577" s="36">
        <v>2.0</v>
      </c>
      <c r="AU577" s="36">
        <f t="shared" si="10"/>
        <v>0</v>
      </c>
      <c r="AV577" s="36">
        <v>2.0</v>
      </c>
      <c r="AW577" s="37">
        <f t="shared" si="11"/>
        <v>0</v>
      </c>
      <c r="AX577" s="37">
        <f t="shared" si="12"/>
        <v>0</v>
      </c>
      <c r="AY577" s="36"/>
    </row>
    <row r="578" ht="15.75" customHeight="1">
      <c r="A578" s="38"/>
      <c r="B578" s="24"/>
      <c r="C578" s="31"/>
      <c r="D578" s="32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>
        <f t="shared" si="1"/>
        <v>0</v>
      </c>
      <c r="AK578" s="33">
        <f t="shared" si="2"/>
        <v>0</v>
      </c>
      <c r="AL578" s="33">
        <f t="shared" si="3"/>
        <v>0</v>
      </c>
      <c r="AM578" s="33">
        <f t="shared" si="4"/>
        <v>0</v>
      </c>
      <c r="AN578" s="33">
        <f t="shared" si="5"/>
        <v>0</v>
      </c>
      <c r="AO578" s="33">
        <f t="shared" si="6"/>
        <v>0</v>
      </c>
      <c r="AP578" s="33">
        <f t="shared" si="7"/>
        <v>0</v>
      </c>
      <c r="AQ578" s="33">
        <f t="shared" si="8"/>
        <v>0</v>
      </c>
      <c r="AR578" s="33">
        <v>1.0</v>
      </c>
      <c r="AS578" s="33">
        <f t="shared" si="9"/>
        <v>0</v>
      </c>
      <c r="AT578" s="33">
        <v>2.0</v>
      </c>
      <c r="AU578" s="33">
        <f t="shared" si="10"/>
        <v>0</v>
      </c>
      <c r="AV578" s="33">
        <v>2.0</v>
      </c>
      <c r="AW578" s="34">
        <f t="shared" si="11"/>
        <v>0</v>
      </c>
      <c r="AX578" s="34">
        <f t="shared" si="12"/>
        <v>0</v>
      </c>
      <c r="AY578" s="33"/>
    </row>
    <row r="579" ht="15.75" customHeight="1">
      <c r="A579" s="38"/>
      <c r="B579" s="18"/>
      <c r="C579" s="29"/>
      <c r="D579" s="35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>
        <f t="shared" si="1"/>
        <v>0</v>
      </c>
      <c r="AK579" s="36">
        <f t="shared" si="2"/>
        <v>0</v>
      </c>
      <c r="AL579" s="36">
        <f t="shared" si="3"/>
        <v>0</v>
      </c>
      <c r="AM579" s="36">
        <f t="shared" si="4"/>
        <v>0</v>
      </c>
      <c r="AN579" s="36">
        <f t="shared" si="5"/>
        <v>0</v>
      </c>
      <c r="AO579" s="36">
        <f t="shared" si="6"/>
        <v>0</v>
      </c>
      <c r="AP579" s="36">
        <f t="shared" si="7"/>
        <v>0</v>
      </c>
      <c r="AQ579" s="36">
        <f t="shared" si="8"/>
        <v>0</v>
      </c>
      <c r="AR579" s="36">
        <v>1.0</v>
      </c>
      <c r="AS579" s="36">
        <f t="shared" si="9"/>
        <v>0</v>
      </c>
      <c r="AT579" s="36">
        <v>2.0</v>
      </c>
      <c r="AU579" s="36">
        <f t="shared" si="10"/>
        <v>0</v>
      </c>
      <c r="AV579" s="36">
        <v>2.0</v>
      </c>
      <c r="AW579" s="37">
        <f t="shared" si="11"/>
        <v>0</v>
      </c>
      <c r="AX579" s="37">
        <f t="shared" si="12"/>
        <v>0</v>
      </c>
      <c r="AY579" s="36"/>
    </row>
    <row r="580" ht="15.75" customHeight="1">
      <c r="A580" s="38"/>
      <c r="B580" s="24"/>
      <c r="C580" s="31"/>
      <c r="D580" s="32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>
        <f t="shared" si="1"/>
        <v>0</v>
      </c>
      <c r="AK580" s="33">
        <f t="shared" si="2"/>
        <v>0</v>
      </c>
      <c r="AL580" s="33">
        <f t="shared" si="3"/>
        <v>0</v>
      </c>
      <c r="AM580" s="33">
        <f t="shared" si="4"/>
        <v>0</v>
      </c>
      <c r="AN580" s="33">
        <f t="shared" si="5"/>
        <v>0</v>
      </c>
      <c r="AO580" s="33">
        <f t="shared" si="6"/>
        <v>0</v>
      </c>
      <c r="AP580" s="33">
        <f t="shared" si="7"/>
        <v>0</v>
      </c>
      <c r="AQ580" s="33">
        <f t="shared" si="8"/>
        <v>0</v>
      </c>
      <c r="AR580" s="33">
        <v>1.0</v>
      </c>
      <c r="AS580" s="33">
        <f t="shared" si="9"/>
        <v>0</v>
      </c>
      <c r="AT580" s="33">
        <v>2.0</v>
      </c>
      <c r="AU580" s="33">
        <f t="shared" si="10"/>
        <v>0</v>
      </c>
      <c r="AV580" s="33">
        <v>2.0</v>
      </c>
      <c r="AW580" s="34">
        <f t="shared" si="11"/>
        <v>0</v>
      </c>
      <c r="AX580" s="34">
        <f t="shared" si="12"/>
        <v>0</v>
      </c>
      <c r="AY580" s="33"/>
    </row>
    <row r="581" ht="15.75" customHeight="1">
      <c r="A581" s="38"/>
      <c r="B581" s="18"/>
      <c r="C581" s="29"/>
      <c r="D581" s="35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>
        <f t="shared" si="1"/>
        <v>0</v>
      </c>
      <c r="AK581" s="36">
        <f t="shared" si="2"/>
        <v>0</v>
      </c>
      <c r="AL581" s="36">
        <f t="shared" si="3"/>
        <v>0</v>
      </c>
      <c r="AM581" s="36">
        <f t="shared" si="4"/>
        <v>0</v>
      </c>
      <c r="AN581" s="36">
        <f t="shared" si="5"/>
        <v>0</v>
      </c>
      <c r="AO581" s="36">
        <f t="shared" si="6"/>
        <v>0</v>
      </c>
      <c r="AP581" s="36">
        <f t="shared" si="7"/>
        <v>0</v>
      </c>
      <c r="AQ581" s="36">
        <f t="shared" si="8"/>
        <v>0</v>
      </c>
      <c r="AR581" s="36">
        <v>1.0</v>
      </c>
      <c r="AS581" s="36">
        <f t="shared" si="9"/>
        <v>0</v>
      </c>
      <c r="AT581" s="36">
        <v>2.0</v>
      </c>
      <c r="AU581" s="36">
        <f t="shared" si="10"/>
        <v>0</v>
      </c>
      <c r="AV581" s="36">
        <v>2.0</v>
      </c>
      <c r="AW581" s="37">
        <f t="shared" si="11"/>
        <v>0</v>
      </c>
      <c r="AX581" s="37">
        <f t="shared" si="12"/>
        <v>0</v>
      </c>
      <c r="AY581" s="36"/>
    </row>
    <row r="582" ht="15.75" customHeight="1">
      <c r="A582" s="38"/>
      <c r="B582" s="24"/>
      <c r="C582" s="31"/>
      <c r="D582" s="32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>
        <f t="shared" si="1"/>
        <v>0</v>
      </c>
      <c r="AK582" s="33">
        <f t="shared" si="2"/>
        <v>0</v>
      </c>
      <c r="AL582" s="33">
        <f t="shared" si="3"/>
        <v>0</v>
      </c>
      <c r="AM582" s="33">
        <f t="shared" si="4"/>
        <v>0</v>
      </c>
      <c r="AN582" s="33">
        <f t="shared" si="5"/>
        <v>0</v>
      </c>
      <c r="AO582" s="33">
        <f t="shared" si="6"/>
        <v>0</v>
      </c>
      <c r="AP582" s="33">
        <f t="shared" si="7"/>
        <v>0</v>
      </c>
      <c r="AQ582" s="33">
        <f t="shared" si="8"/>
        <v>0</v>
      </c>
      <c r="AR582" s="33">
        <v>1.0</v>
      </c>
      <c r="AS582" s="33">
        <f t="shared" si="9"/>
        <v>0</v>
      </c>
      <c r="AT582" s="33">
        <v>2.0</v>
      </c>
      <c r="AU582" s="33">
        <f t="shared" si="10"/>
        <v>0</v>
      </c>
      <c r="AV582" s="33">
        <v>2.0</v>
      </c>
      <c r="AW582" s="34">
        <f t="shared" si="11"/>
        <v>0</v>
      </c>
      <c r="AX582" s="34">
        <f t="shared" si="12"/>
        <v>0</v>
      </c>
      <c r="AY582" s="33"/>
    </row>
    <row r="583" ht="15.75" customHeight="1">
      <c r="A583" s="38"/>
      <c r="B583" s="18"/>
      <c r="C583" s="29"/>
      <c r="D583" s="35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>
        <f t="shared" si="1"/>
        <v>0</v>
      </c>
      <c r="AK583" s="36">
        <f t="shared" si="2"/>
        <v>0</v>
      </c>
      <c r="AL583" s="36">
        <f t="shared" si="3"/>
        <v>0</v>
      </c>
      <c r="AM583" s="36">
        <f t="shared" si="4"/>
        <v>0</v>
      </c>
      <c r="AN583" s="36">
        <f t="shared" si="5"/>
        <v>0</v>
      </c>
      <c r="AO583" s="36">
        <f t="shared" si="6"/>
        <v>0</v>
      </c>
      <c r="AP583" s="36">
        <f t="shared" si="7"/>
        <v>0</v>
      </c>
      <c r="AQ583" s="36">
        <f t="shared" si="8"/>
        <v>0</v>
      </c>
      <c r="AR583" s="36">
        <v>1.0</v>
      </c>
      <c r="AS583" s="36">
        <f t="shared" si="9"/>
        <v>0</v>
      </c>
      <c r="AT583" s="36">
        <v>2.0</v>
      </c>
      <c r="AU583" s="36">
        <f t="shared" si="10"/>
        <v>0</v>
      </c>
      <c r="AV583" s="36">
        <v>2.0</v>
      </c>
      <c r="AW583" s="37">
        <f t="shared" si="11"/>
        <v>0</v>
      </c>
      <c r="AX583" s="37">
        <f t="shared" si="12"/>
        <v>0</v>
      </c>
      <c r="AY583" s="36"/>
    </row>
    <row r="584" ht="15.75" customHeight="1">
      <c r="A584" s="38"/>
      <c r="B584" s="24"/>
      <c r="C584" s="31"/>
      <c r="D584" s="32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>
        <f t="shared" si="1"/>
        <v>0</v>
      </c>
      <c r="AK584" s="33">
        <f t="shared" si="2"/>
        <v>0</v>
      </c>
      <c r="AL584" s="33">
        <f t="shared" si="3"/>
        <v>0</v>
      </c>
      <c r="AM584" s="33">
        <f t="shared" si="4"/>
        <v>0</v>
      </c>
      <c r="AN584" s="33">
        <f t="shared" si="5"/>
        <v>0</v>
      </c>
      <c r="AO584" s="33">
        <f t="shared" si="6"/>
        <v>0</v>
      </c>
      <c r="AP584" s="33">
        <f t="shared" si="7"/>
        <v>0</v>
      </c>
      <c r="AQ584" s="33">
        <f t="shared" si="8"/>
        <v>0</v>
      </c>
      <c r="AR584" s="33">
        <v>1.0</v>
      </c>
      <c r="AS584" s="33">
        <f t="shared" si="9"/>
        <v>0</v>
      </c>
      <c r="AT584" s="33">
        <v>2.0</v>
      </c>
      <c r="AU584" s="33">
        <f t="shared" si="10"/>
        <v>0</v>
      </c>
      <c r="AV584" s="33">
        <v>2.0</v>
      </c>
      <c r="AW584" s="34">
        <f t="shared" si="11"/>
        <v>0</v>
      </c>
      <c r="AX584" s="34">
        <f t="shared" si="12"/>
        <v>0</v>
      </c>
      <c r="AY584" s="33"/>
    </row>
    <row r="585" ht="15.75" customHeight="1">
      <c r="A585" s="38"/>
      <c r="B585" s="18"/>
      <c r="C585" s="29"/>
      <c r="D585" s="35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>
        <f t="shared" si="1"/>
        <v>0</v>
      </c>
      <c r="AK585" s="36">
        <f t="shared" si="2"/>
        <v>0</v>
      </c>
      <c r="AL585" s="36">
        <f t="shared" si="3"/>
        <v>0</v>
      </c>
      <c r="AM585" s="36">
        <f t="shared" si="4"/>
        <v>0</v>
      </c>
      <c r="AN585" s="36">
        <f t="shared" si="5"/>
        <v>0</v>
      </c>
      <c r="AO585" s="36">
        <f t="shared" si="6"/>
        <v>0</v>
      </c>
      <c r="AP585" s="36">
        <f t="shared" si="7"/>
        <v>0</v>
      </c>
      <c r="AQ585" s="36">
        <f t="shared" si="8"/>
        <v>0</v>
      </c>
      <c r="AR585" s="36">
        <v>1.0</v>
      </c>
      <c r="AS585" s="36">
        <f t="shared" si="9"/>
        <v>0</v>
      </c>
      <c r="AT585" s="36">
        <v>2.0</v>
      </c>
      <c r="AU585" s="36">
        <f t="shared" si="10"/>
        <v>0</v>
      </c>
      <c r="AV585" s="36">
        <v>2.0</v>
      </c>
      <c r="AW585" s="37">
        <f t="shared" si="11"/>
        <v>0</v>
      </c>
      <c r="AX585" s="37">
        <f t="shared" si="12"/>
        <v>0</v>
      </c>
      <c r="AY585" s="36"/>
    </row>
    <row r="586" ht="15.75" customHeight="1">
      <c r="A586" s="38"/>
      <c r="B586" s="24"/>
      <c r="C586" s="31"/>
      <c r="D586" s="32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>
        <f t="shared" si="1"/>
        <v>0</v>
      </c>
      <c r="AK586" s="33">
        <f t="shared" si="2"/>
        <v>0</v>
      </c>
      <c r="AL586" s="33">
        <f t="shared" si="3"/>
        <v>0</v>
      </c>
      <c r="AM586" s="33">
        <f t="shared" si="4"/>
        <v>0</v>
      </c>
      <c r="AN586" s="33">
        <f t="shared" si="5"/>
        <v>0</v>
      </c>
      <c r="AO586" s="33">
        <f t="shared" si="6"/>
        <v>0</v>
      </c>
      <c r="AP586" s="33">
        <f t="shared" si="7"/>
        <v>0</v>
      </c>
      <c r="AQ586" s="33">
        <f t="shared" si="8"/>
        <v>0</v>
      </c>
      <c r="AR586" s="33">
        <v>1.0</v>
      </c>
      <c r="AS586" s="33">
        <f t="shared" si="9"/>
        <v>0</v>
      </c>
      <c r="AT586" s="33">
        <v>2.0</v>
      </c>
      <c r="AU586" s="33">
        <f t="shared" si="10"/>
        <v>0</v>
      </c>
      <c r="AV586" s="33">
        <v>2.0</v>
      </c>
      <c r="AW586" s="34">
        <f t="shared" si="11"/>
        <v>0</v>
      </c>
      <c r="AX586" s="34">
        <f t="shared" si="12"/>
        <v>0</v>
      </c>
      <c r="AY586" s="33"/>
    </row>
    <row r="587" ht="15.75" customHeight="1">
      <c r="A587" s="38"/>
      <c r="B587" s="18"/>
      <c r="C587" s="29"/>
      <c r="D587" s="35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>
        <f t="shared" si="1"/>
        <v>0</v>
      </c>
      <c r="AK587" s="36">
        <f t="shared" si="2"/>
        <v>0</v>
      </c>
      <c r="AL587" s="36">
        <f t="shared" si="3"/>
        <v>0</v>
      </c>
      <c r="AM587" s="36">
        <f t="shared" si="4"/>
        <v>0</v>
      </c>
      <c r="AN587" s="36">
        <f t="shared" si="5"/>
        <v>0</v>
      </c>
      <c r="AO587" s="36">
        <f t="shared" si="6"/>
        <v>0</v>
      </c>
      <c r="AP587" s="36">
        <f t="shared" si="7"/>
        <v>0</v>
      </c>
      <c r="AQ587" s="36">
        <f t="shared" si="8"/>
        <v>0</v>
      </c>
      <c r="AR587" s="36">
        <v>1.0</v>
      </c>
      <c r="AS587" s="36">
        <f t="shared" si="9"/>
        <v>0</v>
      </c>
      <c r="AT587" s="36">
        <v>2.0</v>
      </c>
      <c r="AU587" s="36">
        <f t="shared" si="10"/>
        <v>0</v>
      </c>
      <c r="AV587" s="36">
        <v>2.0</v>
      </c>
      <c r="AW587" s="37">
        <f t="shared" si="11"/>
        <v>0</v>
      </c>
      <c r="AX587" s="37">
        <f t="shared" si="12"/>
        <v>0</v>
      </c>
      <c r="AY587" s="36"/>
    </row>
    <row r="588" ht="15.75" customHeight="1">
      <c r="A588" s="38"/>
      <c r="B588" s="24"/>
      <c r="C588" s="31"/>
      <c r="D588" s="32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>
        <f t="shared" si="1"/>
        <v>0</v>
      </c>
      <c r="AK588" s="33">
        <f t="shared" si="2"/>
        <v>0</v>
      </c>
      <c r="AL588" s="33">
        <f t="shared" si="3"/>
        <v>0</v>
      </c>
      <c r="AM588" s="33">
        <f t="shared" si="4"/>
        <v>0</v>
      </c>
      <c r="AN588" s="33">
        <f t="shared" si="5"/>
        <v>0</v>
      </c>
      <c r="AO588" s="33">
        <f t="shared" si="6"/>
        <v>0</v>
      </c>
      <c r="AP588" s="33">
        <f t="shared" si="7"/>
        <v>0</v>
      </c>
      <c r="AQ588" s="33">
        <f t="shared" si="8"/>
        <v>0</v>
      </c>
      <c r="AR588" s="33">
        <v>1.0</v>
      </c>
      <c r="AS588" s="33">
        <f t="shared" si="9"/>
        <v>0</v>
      </c>
      <c r="AT588" s="33">
        <v>2.0</v>
      </c>
      <c r="AU588" s="33">
        <f t="shared" si="10"/>
        <v>0</v>
      </c>
      <c r="AV588" s="33">
        <v>2.0</v>
      </c>
      <c r="AW588" s="34">
        <f t="shared" si="11"/>
        <v>0</v>
      </c>
      <c r="AX588" s="34">
        <f t="shared" si="12"/>
        <v>0</v>
      </c>
      <c r="AY588" s="33"/>
    </row>
    <row r="589" ht="15.75" customHeight="1">
      <c r="A589" s="38"/>
      <c r="B589" s="18"/>
      <c r="C589" s="29"/>
      <c r="D589" s="35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>
        <f t="shared" si="1"/>
        <v>0</v>
      </c>
      <c r="AK589" s="36">
        <f t="shared" si="2"/>
        <v>0</v>
      </c>
      <c r="AL589" s="36">
        <f t="shared" si="3"/>
        <v>0</v>
      </c>
      <c r="AM589" s="36">
        <f t="shared" si="4"/>
        <v>0</v>
      </c>
      <c r="AN589" s="36">
        <f t="shared" si="5"/>
        <v>0</v>
      </c>
      <c r="AO589" s="36">
        <f t="shared" si="6"/>
        <v>0</v>
      </c>
      <c r="AP589" s="36">
        <f t="shared" si="7"/>
        <v>0</v>
      </c>
      <c r="AQ589" s="36">
        <f t="shared" si="8"/>
        <v>0</v>
      </c>
      <c r="AR589" s="36">
        <v>1.0</v>
      </c>
      <c r="AS589" s="36">
        <f t="shared" si="9"/>
        <v>0</v>
      </c>
      <c r="AT589" s="36">
        <v>2.0</v>
      </c>
      <c r="AU589" s="36">
        <f t="shared" si="10"/>
        <v>0</v>
      </c>
      <c r="AV589" s="36">
        <v>2.0</v>
      </c>
      <c r="AW589" s="37">
        <f t="shared" si="11"/>
        <v>0</v>
      </c>
      <c r="AX589" s="37">
        <f t="shared" si="12"/>
        <v>0</v>
      </c>
      <c r="AY589" s="36"/>
    </row>
    <row r="590" ht="15.75" customHeight="1">
      <c r="A590" s="38"/>
      <c r="B590" s="24"/>
      <c r="C590" s="31"/>
      <c r="D590" s="32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>
        <f t="shared" si="1"/>
        <v>0</v>
      </c>
      <c r="AK590" s="33">
        <f t="shared" si="2"/>
        <v>0</v>
      </c>
      <c r="AL590" s="33">
        <f t="shared" si="3"/>
        <v>0</v>
      </c>
      <c r="AM590" s="33">
        <f t="shared" si="4"/>
        <v>0</v>
      </c>
      <c r="AN590" s="33">
        <f t="shared" si="5"/>
        <v>0</v>
      </c>
      <c r="AO590" s="33">
        <f t="shared" si="6"/>
        <v>0</v>
      </c>
      <c r="AP590" s="33">
        <f t="shared" si="7"/>
        <v>0</v>
      </c>
      <c r="AQ590" s="33">
        <f t="shared" si="8"/>
        <v>0</v>
      </c>
      <c r="AR590" s="33">
        <v>1.0</v>
      </c>
      <c r="AS590" s="33">
        <f t="shared" si="9"/>
        <v>0</v>
      </c>
      <c r="AT590" s="33">
        <v>2.0</v>
      </c>
      <c r="AU590" s="33">
        <f t="shared" si="10"/>
        <v>0</v>
      </c>
      <c r="AV590" s="33">
        <v>2.0</v>
      </c>
      <c r="AW590" s="34">
        <f t="shared" si="11"/>
        <v>0</v>
      </c>
      <c r="AX590" s="34">
        <f t="shared" si="12"/>
        <v>0</v>
      </c>
      <c r="AY590" s="33"/>
    </row>
    <row r="591" ht="15.75" customHeight="1">
      <c r="A591" s="38"/>
      <c r="B591" s="18"/>
      <c r="C591" s="29"/>
      <c r="D591" s="35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>
        <f t="shared" si="1"/>
        <v>0</v>
      </c>
      <c r="AK591" s="36">
        <f t="shared" si="2"/>
        <v>0</v>
      </c>
      <c r="AL591" s="36">
        <f t="shared" si="3"/>
        <v>0</v>
      </c>
      <c r="AM591" s="36">
        <f t="shared" si="4"/>
        <v>0</v>
      </c>
      <c r="AN591" s="36">
        <f t="shared" si="5"/>
        <v>0</v>
      </c>
      <c r="AO591" s="36">
        <f t="shared" si="6"/>
        <v>0</v>
      </c>
      <c r="AP591" s="36">
        <f t="shared" si="7"/>
        <v>0</v>
      </c>
      <c r="AQ591" s="36">
        <f t="shared" si="8"/>
        <v>0</v>
      </c>
      <c r="AR591" s="36">
        <v>1.0</v>
      </c>
      <c r="AS591" s="36">
        <f t="shared" si="9"/>
        <v>0</v>
      </c>
      <c r="AT591" s="36">
        <v>2.0</v>
      </c>
      <c r="AU591" s="36">
        <f t="shared" si="10"/>
        <v>0</v>
      </c>
      <c r="AV591" s="36">
        <v>2.0</v>
      </c>
      <c r="AW591" s="37">
        <f t="shared" si="11"/>
        <v>0</v>
      </c>
      <c r="AX591" s="37">
        <f t="shared" si="12"/>
        <v>0</v>
      </c>
      <c r="AY591" s="36"/>
    </row>
    <row r="592" ht="15.75" customHeight="1">
      <c r="A592" s="38"/>
      <c r="B592" s="24"/>
      <c r="C592" s="31"/>
      <c r="D592" s="32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>
        <f t="shared" si="1"/>
        <v>0</v>
      </c>
      <c r="AK592" s="33">
        <f t="shared" si="2"/>
        <v>0</v>
      </c>
      <c r="AL592" s="33">
        <f t="shared" si="3"/>
        <v>0</v>
      </c>
      <c r="AM592" s="33">
        <f t="shared" si="4"/>
        <v>0</v>
      </c>
      <c r="AN592" s="33">
        <f t="shared" si="5"/>
        <v>0</v>
      </c>
      <c r="AO592" s="33">
        <f t="shared" si="6"/>
        <v>0</v>
      </c>
      <c r="AP592" s="33">
        <f t="shared" si="7"/>
        <v>0</v>
      </c>
      <c r="AQ592" s="33">
        <f t="shared" si="8"/>
        <v>0</v>
      </c>
      <c r="AR592" s="33">
        <v>1.0</v>
      </c>
      <c r="AS592" s="33">
        <f t="shared" si="9"/>
        <v>0</v>
      </c>
      <c r="AT592" s="33">
        <v>2.0</v>
      </c>
      <c r="AU592" s="33">
        <f t="shared" si="10"/>
        <v>0</v>
      </c>
      <c r="AV592" s="33">
        <v>2.0</v>
      </c>
      <c r="AW592" s="34">
        <f t="shared" si="11"/>
        <v>0</v>
      </c>
      <c r="AX592" s="34">
        <f t="shared" si="12"/>
        <v>0</v>
      </c>
      <c r="AY592" s="33"/>
    </row>
    <row r="593" ht="15.75" customHeight="1">
      <c r="A593" s="38"/>
      <c r="B593" s="18"/>
      <c r="C593" s="29"/>
      <c r="D593" s="35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>
        <f t="shared" si="1"/>
        <v>0</v>
      </c>
      <c r="AK593" s="36">
        <f t="shared" si="2"/>
        <v>0</v>
      </c>
      <c r="AL593" s="36">
        <f t="shared" si="3"/>
        <v>0</v>
      </c>
      <c r="AM593" s="36">
        <f t="shared" si="4"/>
        <v>0</v>
      </c>
      <c r="AN593" s="36">
        <f t="shared" si="5"/>
        <v>0</v>
      </c>
      <c r="AO593" s="36">
        <f t="shared" si="6"/>
        <v>0</v>
      </c>
      <c r="AP593" s="36">
        <f t="shared" si="7"/>
        <v>0</v>
      </c>
      <c r="AQ593" s="36">
        <f t="shared" si="8"/>
        <v>0</v>
      </c>
      <c r="AR593" s="36">
        <v>1.0</v>
      </c>
      <c r="AS593" s="36">
        <f t="shared" si="9"/>
        <v>0</v>
      </c>
      <c r="AT593" s="36">
        <v>2.0</v>
      </c>
      <c r="AU593" s="36">
        <f t="shared" si="10"/>
        <v>0</v>
      </c>
      <c r="AV593" s="36">
        <v>2.0</v>
      </c>
      <c r="AW593" s="37">
        <f t="shared" si="11"/>
        <v>0</v>
      </c>
      <c r="AX593" s="37">
        <f t="shared" si="12"/>
        <v>0</v>
      </c>
      <c r="AY593" s="36"/>
    </row>
    <row r="594" ht="15.75" customHeight="1">
      <c r="A594" s="38"/>
      <c r="B594" s="24"/>
      <c r="C594" s="31"/>
      <c r="D594" s="32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>
        <f t="shared" si="1"/>
        <v>0</v>
      </c>
      <c r="AK594" s="33">
        <f t="shared" si="2"/>
        <v>0</v>
      </c>
      <c r="AL594" s="33">
        <f t="shared" si="3"/>
        <v>0</v>
      </c>
      <c r="AM594" s="33">
        <f t="shared" si="4"/>
        <v>0</v>
      </c>
      <c r="AN594" s="33">
        <f t="shared" si="5"/>
        <v>0</v>
      </c>
      <c r="AO594" s="33">
        <f t="shared" si="6"/>
        <v>0</v>
      </c>
      <c r="AP594" s="33">
        <f t="shared" si="7"/>
        <v>0</v>
      </c>
      <c r="AQ594" s="33">
        <f t="shared" si="8"/>
        <v>0</v>
      </c>
      <c r="AR594" s="33">
        <v>1.0</v>
      </c>
      <c r="AS594" s="33">
        <f t="shared" si="9"/>
        <v>0</v>
      </c>
      <c r="AT594" s="33">
        <v>2.0</v>
      </c>
      <c r="AU594" s="33">
        <f t="shared" si="10"/>
        <v>0</v>
      </c>
      <c r="AV594" s="33">
        <v>2.0</v>
      </c>
      <c r="AW594" s="34">
        <f t="shared" si="11"/>
        <v>0</v>
      </c>
      <c r="AX594" s="34">
        <f t="shared" si="12"/>
        <v>0</v>
      </c>
      <c r="AY594" s="33"/>
    </row>
    <row r="595" ht="15.75" customHeight="1">
      <c r="A595" s="38"/>
      <c r="B595" s="18"/>
      <c r="C595" s="29"/>
      <c r="D595" s="35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>
        <f t="shared" si="1"/>
        <v>0</v>
      </c>
      <c r="AK595" s="36">
        <f t="shared" si="2"/>
        <v>0</v>
      </c>
      <c r="AL595" s="36">
        <f t="shared" si="3"/>
        <v>0</v>
      </c>
      <c r="AM595" s="36">
        <f t="shared" si="4"/>
        <v>0</v>
      </c>
      <c r="AN595" s="36">
        <f t="shared" si="5"/>
        <v>0</v>
      </c>
      <c r="AO595" s="36">
        <f t="shared" si="6"/>
        <v>0</v>
      </c>
      <c r="AP595" s="36">
        <f t="shared" si="7"/>
        <v>0</v>
      </c>
      <c r="AQ595" s="36">
        <f t="shared" si="8"/>
        <v>0</v>
      </c>
      <c r="AR595" s="36">
        <v>1.0</v>
      </c>
      <c r="AS595" s="36">
        <f t="shared" si="9"/>
        <v>0</v>
      </c>
      <c r="AT595" s="36">
        <v>2.0</v>
      </c>
      <c r="AU595" s="36">
        <f t="shared" si="10"/>
        <v>0</v>
      </c>
      <c r="AV595" s="36">
        <v>2.0</v>
      </c>
      <c r="AW595" s="37">
        <f t="shared" si="11"/>
        <v>0</v>
      </c>
      <c r="AX595" s="37">
        <f t="shared" si="12"/>
        <v>0</v>
      </c>
      <c r="AY595" s="36"/>
    </row>
    <row r="596" ht="15.75" customHeight="1">
      <c r="A596" s="38"/>
      <c r="B596" s="24"/>
      <c r="C596" s="31"/>
      <c r="D596" s="32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>
        <f t="shared" si="1"/>
        <v>0</v>
      </c>
      <c r="AK596" s="33">
        <f t="shared" si="2"/>
        <v>0</v>
      </c>
      <c r="AL596" s="33">
        <f t="shared" si="3"/>
        <v>0</v>
      </c>
      <c r="AM596" s="33">
        <f t="shared" si="4"/>
        <v>0</v>
      </c>
      <c r="AN596" s="33">
        <f t="shared" si="5"/>
        <v>0</v>
      </c>
      <c r="AO596" s="33">
        <f t="shared" si="6"/>
        <v>0</v>
      </c>
      <c r="AP596" s="33">
        <f t="shared" si="7"/>
        <v>0</v>
      </c>
      <c r="AQ596" s="33">
        <f t="shared" si="8"/>
        <v>0</v>
      </c>
      <c r="AR596" s="33">
        <v>1.0</v>
      </c>
      <c r="AS596" s="33">
        <f t="shared" si="9"/>
        <v>0</v>
      </c>
      <c r="AT596" s="33">
        <v>2.0</v>
      </c>
      <c r="AU596" s="33">
        <f t="shared" si="10"/>
        <v>0</v>
      </c>
      <c r="AV596" s="33">
        <v>2.0</v>
      </c>
      <c r="AW596" s="34">
        <f t="shared" si="11"/>
        <v>0</v>
      </c>
      <c r="AX596" s="34">
        <f t="shared" si="12"/>
        <v>0</v>
      </c>
      <c r="AY596" s="33"/>
    </row>
    <row r="597" ht="15.75" customHeight="1">
      <c r="A597" s="38"/>
      <c r="B597" s="18"/>
      <c r="C597" s="29"/>
      <c r="D597" s="35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>
        <f t="shared" si="1"/>
        <v>0</v>
      </c>
      <c r="AK597" s="36">
        <f t="shared" si="2"/>
        <v>0</v>
      </c>
      <c r="AL597" s="36">
        <f t="shared" si="3"/>
        <v>0</v>
      </c>
      <c r="AM597" s="36">
        <f t="shared" si="4"/>
        <v>0</v>
      </c>
      <c r="AN597" s="36">
        <f t="shared" si="5"/>
        <v>0</v>
      </c>
      <c r="AO597" s="36">
        <f t="shared" si="6"/>
        <v>0</v>
      </c>
      <c r="AP597" s="36">
        <f t="shared" si="7"/>
        <v>0</v>
      </c>
      <c r="AQ597" s="36">
        <f t="shared" si="8"/>
        <v>0</v>
      </c>
      <c r="AR597" s="36">
        <v>1.0</v>
      </c>
      <c r="AS597" s="36">
        <f t="shared" si="9"/>
        <v>0</v>
      </c>
      <c r="AT597" s="36">
        <v>2.0</v>
      </c>
      <c r="AU597" s="36">
        <f t="shared" si="10"/>
        <v>0</v>
      </c>
      <c r="AV597" s="36">
        <v>2.0</v>
      </c>
      <c r="AW597" s="37">
        <f t="shared" si="11"/>
        <v>0</v>
      </c>
      <c r="AX597" s="37">
        <f t="shared" si="12"/>
        <v>0</v>
      </c>
      <c r="AY597" s="36"/>
    </row>
    <row r="598" ht="15.75" customHeight="1">
      <c r="A598" s="38"/>
      <c r="B598" s="24"/>
      <c r="C598" s="31"/>
      <c r="D598" s="32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>
        <f t="shared" si="1"/>
        <v>0</v>
      </c>
      <c r="AK598" s="33">
        <f t="shared" si="2"/>
        <v>0</v>
      </c>
      <c r="AL598" s="33">
        <f t="shared" si="3"/>
        <v>0</v>
      </c>
      <c r="AM598" s="33">
        <f t="shared" si="4"/>
        <v>0</v>
      </c>
      <c r="AN598" s="33">
        <f t="shared" si="5"/>
        <v>0</v>
      </c>
      <c r="AO598" s="33">
        <f t="shared" si="6"/>
        <v>0</v>
      </c>
      <c r="AP598" s="33">
        <f t="shared" si="7"/>
        <v>0</v>
      </c>
      <c r="AQ598" s="33">
        <f t="shared" si="8"/>
        <v>0</v>
      </c>
      <c r="AR598" s="33">
        <v>1.0</v>
      </c>
      <c r="AS598" s="33">
        <f t="shared" si="9"/>
        <v>0</v>
      </c>
      <c r="AT598" s="33">
        <v>2.0</v>
      </c>
      <c r="AU598" s="33">
        <f t="shared" si="10"/>
        <v>0</v>
      </c>
      <c r="AV598" s="33">
        <v>2.0</v>
      </c>
      <c r="AW598" s="34">
        <f t="shared" si="11"/>
        <v>0</v>
      </c>
      <c r="AX598" s="34">
        <f t="shared" si="12"/>
        <v>0</v>
      </c>
      <c r="AY598" s="33"/>
    </row>
    <row r="599" ht="15.75" customHeight="1">
      <c r="A599" s="38"/>
      <c r="B599" s="18"/>
      <c r="C599" s="29"/>
      <c r="D599" s="35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>
        <f t="shared" si="1"/>
        <v>0</v>
      </c>
      <c r="AK599" s="36">
        <f t="shared" si="2"/>
        <v>0</v>
      </c>
      <c r="AL599" s="36">
        <f t="shared" si="3"/>
        <v>0</v>
      </c>
      <c r="AM599" s="36">
        <f t="shared" si="4"/>
        <v>0</v>
      </c>
      <c r="AN599" s="36">
        <f t="shared" si="5"/>
        <v>0</v>
      </c>
      <c r="AO599" s="36">
        <f t="shared" si="6"/>
        <v>0</v>
      </c>
      <c r="AP599" s="36">
        <f t="shared" si="7"/>
        <v>0</v>
      </c>
      <c r="AQ599" s="36">
        <f t="shared" si="8"/>
        <v>0</v>
      </c>
      <c r="AR599" s="36">
        <v>1.0</v>
      </c>
      <c r="AS599" s="36">
        <f t="shared" si="9"/>
        <v>0</v>
      </c>
      <c r="AT599" s="36">
        <v>2.0</v>
      </c>
      <c r="AU599" s="36">
        <f t="shared" si="10"/>
        <v>0</v>
      </c>
      <c r="AV599" s="36">
        <v>2.0</v>
      </c>
      <c r="AW599" s="37">
        <f t="shared" si="11"/>
        <v>0</v>
      </c>
      <c r="AX599" s="37">
        <f t="shared" si="12"/>
        <v>0</v>
      </c>
      <c r="AY599" s="36"/>
    </row>
    <row r="600" ht="15.75" customHeight="1">
      <c r="A600" s="38"/>
      <c r="B600" s="24"/>
      <c r="C600" s="31"/>
      <c r="D600" s="32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>
        <f t="shared" si="1"/>
        <v>0</v>
      </c>
      <c r="AK600" s="33">
        <f t="shared" si="2"/>
        <v>0</v>
      </c>
      <c r="AL600" s="33">
        <f t="shared" si="3"/>
        <v>0</v>
      </c>
      <c r="AM600" s="33">
        <f t="shared" si="4"/>
        <v>0</v>
      </c>
      <c r="AN600" s="33">
        <f t="shared" si="5"/>
        <v>0</v>
      </c>
      <c r="AO600" s="33">
        <f t="shared" si="6"/>
        <v>0</v>
      </c>
      <c r="AP600" s="33">
        <f t="shared" si="7"/>
        <v>0</v>
      </c>
      <c r="AQ600" s="33">
        <f t="shared" si="8"/>
        <v>0</v>
      </c>
      <c r="AR600" s="33">
        <v>1.0</v>
      </c>
      <c r="AS600" s="33">
        <f t="shared" si="9"/>
        <v>0</v>
      </c>
      <c r="AT600" s="33">
        <v>2.0</v>
      </c>
      <c r="AU600" s="33">
        <f t="shared" si="10"/>
        <v>0</v>
      </c>
      <c r="AV600" s="33">
        <v>2.0</v>
      </c>
      <c r="AW600" s="34">
        <f t="shared" si="11"/>
        <v>0</v>
      </c>
      <c r="AX600" s="34">
        <f t="shared" si="12"/>
        <v>0</v>
      </c>
      <c r="AY600" s="33"/>
    </row>
    <row r="601" ht="15.75" customHeight="1">
      <c r="A601" s="38"/>
      <c r="B601" s="18"/>
      <c r="C601" s="29"/>
      <c r="D601" s="35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>
        <f t="shared" si="1"/>
        <v>0</v>
      </c>
      <c r="AK601" s="36">
        <f t="shared" si="2"/>
        <v>0</v>
      </c>
      <c r="AL601" s="36">
        <f t="shared" si="3"/>
        <v>0</v>
      </c>
      <c r="AM601" s="36">
        <f t="shared" si="4"/>
        <v>0</v>
      </c>
      <c r="AN601" s="36">
        <f t="shared" si="5"/>
        <v>0</v>
      </c>
      <c r="AO601" s="36">
        <f t="shared" si="6"/>
        <v>0</v>
      </c>
      <c r="AP601" s="36">
        <f t="shared" si="7"/>
        <v>0</v>
      </c>
      <c r="AQ601" s="36">
        <f t="shared" si="8"/>
        <v>0</v>
      </c>
      <c r="AR601" s="36">
        <v>1.0</v>
      </c>
      <c r="AS601" s="36">
        <f t="shared" si="9"/>
        <v>0</v>
      </c>
      <c r="AT601" s="36">
        <v>2.0</v>
      </c>
      <c r="AU601" s="36">
        <f t="shared" si="10"/>
        <v>0</v>
      </c>
      <c r="AV601" s="36">
        <v>2.0</v>
      </c>
      <c r="AW601" s="37">
        <f t="shared" si="11"/>
        <v>0</v>
      </c>
      <c r="AX601" s="37">
        <f t="shared" si="12"/>
        <v>0</v>
      </c>
      <c r="AY601" s="36"/>
    </row>
    <row r="602" ht="15.75" customHeight="1">
      <c r="A602" s="38"/>
      <c r="B602" s="24"/>
      <c r="C602" s="31"/>
      <c r="D602" s="32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>
        <f t="shared" si="1"/>
        <v>0</v>
      </c>
      <c r="AK602" s="33">
        <f t="shared" si="2"/>
        <v>0</v>
      </c>
      <c r="AL602" s="33">
        <f t="shared" si="3"/>
        <v>0</v>
      </c>
      <c r="AM602" s="33">
        <f t="shared" si="4"/>
        <v>0</v>
      </c>
      <c r="AN602" s="33">
        <f t="shared" si="5"/>
        <v>0</v>
      </c>
      <c r="AO602" s="33">
        <f t="shared" si="6"/>
        <v>0</v>
      </c>
      <c r="AP602" s="33">
        <f t="shared" si="7"/>
        <v>0</v>
      </c>
      <c r="AQ602" s="33">
        <f t="shared" si="8"/>
        <v>0</v>
      </c>
      <c r="AR602" s="33">
        <v>1.0</v>
      </c>
      <c r="AS602" s="33">
        <f t="shared" si="9"/>
        <v>0</v>
      </c>
      <c r="AT602" s="33">
        <v>2.0</v>
      </c>
      <c r="AU602" s="33">
        <f t="shared" si="10"/>
        <v>0</v>
      </c>
      <c r="AV602" s="33">
        <v>2.0</v>
      </c>
      <c r="AW602" s="34">
        <f t="shared" si="11"/>
        <v>0</v>
      </c>
      <c r="AX602" s="34">
        <f t="shared" si="12"/>
        <v>0</v>
      </c>
      <c r="AY602" s="33"/>
    </row>
    <row r="603" ht="15.75" customHeight="1">
      <c r="A603" s="38"/>
      <c r="B603" s="18"/>
      <c r="C603" s="29"/>
      <c r="D603" s="35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>
        <f t="shared" si="1"/>
        <v>0</v>
      </c>
      <c r="AK603" s="36">
        <f t="shared" si="2"/>
        <v>0</v>
      </c>
      <c r="AL603" s="36">
        <f t="shared" si="3"/>
        <v>0</v>
      </c>
      <c r="AM603" s="36">
        <f t="shared" si="4"/>
        <v>0</v>
      </c>
      <c r="AN603" s="36">
        <f t="shared" si="5"/>
        <v>0</v>
      </c>
      <c r="AO603" s="36">
        <f t="shared" si="6"/>
        <v>0</v>
      </c>
      <c r="AP603" s="36">
        <f t="shared" si="7"/>
        <v>0</v>
      </c>
      <c r="AQ603" s="36">
        <f t="shared" si="8"/>
        <v>0</v>
      </c>
      <c r="AR603" s="36">
        <v>1.0</v>
      </c>
      <c r="AS603" s="36">
        <f t="shared" si="9"/>
        <v>0</v>
      </c>
      <c r="AT603" s="36">
        <v>2.0</v>
      </c>
      <c r="AU603" s="36">
        <f t="shared" si="10"/>
        <v>0</v>
      </c>
      <c r="AV603" s="36">
        <v>2.0</v>
      </c>
      <c r="AW603" s="37">
        <f t="shared" si="11"/>
        <v>0</v>
      </c>
      <c r="AX603" s="37">
        <f t="shared" si="12"/>
        <v>0</v>
      </c>
      <c r="AY603" s="36"/>
    </row>
    <row r="604" ht="15.75" customHeight="1">
      <c r="A604" s="38"/>
      <c r="B604" s="24"/>
      <c r="C604" s="31"/>
      <c r="D604" s="32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>
        <f t="shared" si="1"/>
        <v>0</v>
      </c>
      <c r="AK604" s="33">
        <f t="shared" si="2"/>
        <v>0</v>
      </c>
      <c r="AL604" s="33">
        <f t="shared" si="3"/>
        <v>0</v>
      </c>
      <c r="AM604" s="33">
        <f t="shared" si="4"/>
        <v>0</v>
      </c>
      <c r="AN604" s="33">
        <f t="shared" si="5"/>
        <v>0</v>
      </c>
      <c r="AO604" s="33">
        <f t="shared" si="6"/>
        <v>0</v>
      </c>
      <c r="AP604" s="33">
        <f t="shared" si="7"/>
        <v>0</v>
      </c>
      <c r="AQ604" s="33">
        <f t="shared" si="8"/>
        <v>0</v>
      </c>
      <c r="AR604" s="33">
        <v>1.0</v>
      </c>
      <c r="AS604" s="33">
        <f t="shared" si="9"/>
        <v>0</v>
      </c>
      <c r="AT604" s="33">
        <v>2.0</v>
      </c>
      <c r="AU604" s="33">
        <f t="shared" si="10"/>
        <v>0</v>
      </c>
      <c r="AV604" s="33">
        <v>2.0</v>
      </c>
      <c r="AW604" s="34">
        <f t="shared" si="11"/>
        <v>0</v>
      </c>
      <c r="AX604" s="34">
        <f t="shared" si="12"/>
        <v>0</v>
      </c>
      <c r="AY604" s="33"/>
    </row>
    <row r="605" ht="15.75" customHeight="1">
      <c r="A605" s="38"/>
      <c r="B605" s="18"/>
      <c r="C605" s="29"/>
      <c r="D605" s="35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>
        <f t="shared" si="1"/>
        <v>0</v>
      </c>
      <c r="AK605" s="36">
        <f t="shared" si="2"/>
        <v>0</v>
      </c>
      <c r="AL605" s="36">
        <f t="shared" si="3"/>
        <v>0</v>
      </c>
      <c r="AM605" s="36">
        <f t="shared" si="4"/>
        <v>0</v>
      </c>
      <c r="AN605" s="36">
        <f t="shared" si="5"/>
        <v>0</v>
      </c>
      <c r="AO605" s="36">
        <f t="shared" si="6"/>
        <v>0</v>
      </c>
      <c r="AP605" s="36">
        <f t="shared" si="7"/>
        <v>0</v>
      </c>
      <c r="AQ605" s="36">
        <f t="shared" si="8"/>
        <v>0</v>
      </c>
      <c r="AR605" s="36">
        <v>1.0</v>
      </c>
      <c r="AS605" s="36">
        <f t="shared" si="9"/>
        <v>0</v>
      </c>
      <c r="AT605" s="36">
        <v>2.0</v>
      </c>
      <c r="AU605" s="36">
        <f t="shared" si="10"/>
        <v>0</v>
      </c>
      <c r="AV605" s="36">
        <v>2.0</v>
      </c>
      <c r="AW605" s="37">
        <f t="shared" si="11"/>
        <v>0</v>
      </c>
      <c r="AX605" s="37">
        <f t="shared" si="12"/>
        <v>0</v>
      </c>
      <c r="AY605" s="36"/>
    </row>
    <row r="606" ht="15.75" customHeight="1">
      <c r="A606" s="38"/>
      <c r="B606" s="24"/>
      <c r="C606" s="31"/>
      <c r="D606" s="32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>
        <f t="shared" si="1"/>
        <v>0</v>
      </c>
      <c r="AK606" s="33">
        <f t="shared" si="2"/>
        <v>0</v>
      </c>
      <c r="AL606" s="33">
        <f t="shared" si="3"/>
        <v>0</v>
      </c>
      <c r="AM606" s="33">
        <f t="shared" si="4"/>
        <v>0</v>
      </c>
      <c r="AN606" s="33">
        <f t="shared" si="5"/>
        <v>0</v>
      </c>
      <c r="AO606" s="33">
        <f t="shared" si="6"/>
        <v>0</v>
      </c>
      <c r="AP606" s="33">
        <f t="shared" si="7"/>
        <v>0</v>
      </c>
      <c r="AQ606" s="33">
        <f t="shared" si="8"/>
        <v>0</v>
      </c>
      <c r="AR606" s="33">
        <v>1.0</v>
      </c>
      <c r="AS606" s="33">
        <f t="shared" si="9"/>
        <v>0</v>
      </c>
      <c r="AT606" s="33">
        <v>2.0</v>
      </c>
      <c r="AU606" s="33">
        <f t="shared" si="10"/>
        <v>0</v>
      </c>
      <c r="AV606" s="33">
        <v>2.0</v>
      </c>
      <c r="AW606" s="34">
        <f t="shared" si="11"/>
        <v>0</v>
      </c>
      <c r="AX606" s="34">
        <f t="shared" si="12"/>
        <v>0</v>
      </c>
      <c r="AY606" s="33"/>
    </row>
    <row r="607" ht="15.75" customHeight="1">
      <c r="A607" s="38"/>
      <c r="B607" s="18"/>
      <c r="C607" s="29"/>
      <c r="D607" s="35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>
        <f t="shared" si="1"/>
        <v>0</v>
      </c>
      <c r="AK607" s="36">
        <f t="shared" si="2"/>
        <v>0</v>
      </c>
      <c r="AL607" s="36">
        <f t="shared" si="3"/>
        <v>0</v>
      </c>
      <c r="AM607" s="36">
        <f t="shared" si="4"/>
        <v>0</v>
      </c>
      <c r="AN607" s="36">
        <f t="shared" si="5"/>
        <v>0</v>
      </c>
      <c r="AO607" s="36">
        <f t="shared" si="6"/>
        <v>0</v>
      </c>
      <c r="AP607" s="36">
        <f t="shared" si="7"/>
        <v>0</v>
      </c>
      <c r="AQ607" s="36">
        <f t="shared" si="8"/>
        <v>0</v>
      </c>
      <c r="AR607" s="36">
        <v>1.0</v>
      </c>
      <c r="AS607" s="36">
        <f t="shared" si="9"/>
        <v>0</v>
      </c>
      <c r="AT607" s="36">
        <v>2.0</v>
      </c>
      <c r="AU607" s="36">
        <f t="shared" si="10"/>
        <v>0</v>
      </c>
      <c r="AV607" s="36">
        <v>2.0</v>
      </c>
      <c r="AW607" s="37">
        <f t="shared" si="11"/>
        <v>0</v>
      </c>
      <c r="AX607" s="37">
        <f t="shared" si="12"/>
        <v>0</v>
      </c>
      <c r="AY607" s="36"/>
    </row>
  </sheetData>
  <autoFilter ref="$B$6:$D$157"/>
  <mergeCells count="5">
    <mergeCell ref="B2:C3"/>
    <mergeCell ref="D2:AI2"/>
    <mergeCell ref="AJ2:AX3"/>
    <mergeCell ref="D3:AI3"/>
    <mergeCell ref="AJ4:AX5"/>
  </mergeCells>
  <conditionalFormatting sqref="E6:AI57 AJ8:AV57 AW8:AW607 AX8:AX57">
    <cfRule type="expression" dxfId="0" priority="1">
      <formula>#REF!="Sun"</formula>
    </cfRule>
  </conditionalFormatting>
  <conditionalFormatting sqref="E4:AI7">
    <cfRule type="expression" dxfId="1" priority="2">
      <formula>E$4&gt;DAY(EOMONTH(DATE($C$4,#REF!,1),0))</formula>
    </cfRule>
  </conditionalFormatting>
  <conditionalFormatting sqref="E8:AV57 AW8:AW607 AX8:AX57">
    <cfRule type="expression" dxfId="0" priority="3">
      <formula>E$8="Sun"</formula>
    </cfRule>
  </conditionalFormatting>
  <conditionalFormatting sqref="E58:AX107">
    <cfRule type="expression" dxfId="0" priority="4">
      <formula>E$6="Sun"</formula>
    </cfRule>
  </conditionalFormatting>
  <conditionalFormatting sqref="E58:AX107">
    <cfRule type="expression" dxfId="0" priority="5">
      <formula>E$8="Sun"</formula>
    </cfRule>
  </conditionalFormatting>
  <conditionalFormatting sqref="E108:AX157">
    <cfRule type="expression" dxfId="0" priority="6">
      <formula>E$6="Sun"</formula>
    </cfRule>
  </conditionalFormatting>
  <conditionalFormatting sqref="E108:AX157">
    <cfRule type="expression" dxfId="0" priority="7">
      <formula>E$8="Sun"</formula>
    </cfRule>
  </conditionalFormatting>
  <conditionalFormatting sqref="E158:AX207">
    <cfRule type="expression" dxfId="0" priority="8">
      <formula>E$6="Sun"</formula>
    </cfRule>
  </conditionalFormatting>
  <conditionalFormatting sqref="E158:AX207">
    <cfRule type="expression" dxfId="0" priority="9">
      <formula>E$8="Sun"</formula>
    </cfRule>
  </conditionalFormatting>
  <conditionalFormatting sqref="E208:AX257">
    <cfRule type="expression" dxfId="0" priority="10">
      <formula>E$6="Sun"</formula>
    </cfRule>
  </conditionalFormatting>
  <conditionalFormatting sqref="E208:AX257">
    <cfRule type="expression" dxfId="0" priority="11">
      <formula>E$8="Sun"</formula>
    </cfRule>
  </conditionalFormatting>
  <conditionalFormatting sqref="E258:AX307">
    <cfRule type="expression" dxfId="0" priority="12">
      <formula>E$6="Sun"</formula>
    </cfRule>
  </conditionalFormatting>
  <conditionalFormatting sqref="E258:AX307">
    <cfRule type="expression" dxfId="0" priority="13">
      <formula>E$8="Sun"</formula>
    </cfRule>
  </conditionalFormatting>
  <conditionalFormatting sqref="E308:AX357">
    <cfRule type="expression" dxfId="0" priority="14">
      <formula>E$6="Sun"</formula>
    </cfRule>
  </conditionalFormatting>
  <conditionalFormatting sqref="E308:AX357">
    <cfRule type="expression" dxfId="0" priority="15">
      <formula>E$8="Sun"</formula>
    </cfRule>
  </conditionalFormatting>
  <conditionalFormatting sqref="E358:AX407">
    <cfRule type="expression" dxfId="0" priority="16">
      <formula>E$6="Sun"</formula>
    </cfRule>
  </conditionalFormatting>
  <conditionalFormatting sqref="E358:AX407">
    <cfRule type="expression" dxfId="0" priority="17">
      <formula>E$8="Sun"</formula>
    </cfRule>
  </conditionalFormatting>
  <conditionalFormatting sqref="E408:AX457">
    <cfRule type="expression" dxfId="0" priority="18">
      <formula>E$6="Sun"</formula>
    </cfRule>
  </conditionalFormatting>
  <conditionalFormatting sqref="E408:AX457">
    <cfRule type="expression" dxfId="0" priority="19">
      <formula>E$8="Sun"</formula>
    </cfRule>
  </conditionalFormatting>
  <conditionalFormatting sqref="E458:AX507">
    <cfRule type="expression" dxfId="0" priority="20">
      <formula>E$6="Sun"</formula>
    </cfRule>
  </conditionalFormatting>
  <conditionalFormatting sqref="E458:AX507">
    <cfRule type="expression" dxfId="0" priority="21">
      <formula>E$8="Sun"</formula>
    </cfRule>
  </conditionalFormatting>
  <conditionalFormatting sqref="E508:AX557">
    <cfRule type="expression" dxfId="0" priority="22">
      <formula>E$6="Sun"</formula>
    </cfRule>
  </conditionalFormatting>
  <conditionalFormatting sqref="E508:AX557">
    <cfRule type="expression" dxfId="0" priority="23">
      <formula>E$8="Sun"</formula>
    </cfRule>
  </conditionalFormatting>
  <conditionalFormatting sqref="E558:AX607">
    <cfRule type="expression" dxfId="0" priority="24">
      <formula>E$6="Sun"</formula>
    </cfRule>
  </conditionalFormatting>
  <conditionalFormatting sqref="E558:AX607">
    <cfRule type="expression" dxfId="0" priority="25">
      <formula>E$8="Sun"</formula>
    </cfRule>
  </conditionalFormatting>
  <conditionalFormatting sqref="AJ8:AV8 AW8:AW607 AX8">
    <cfRule type="expression" dxfId="0" priority="26">
      <formula>AJ$8="Sun"</formula>
    </cfRule>
  </conditionalFormatting>
  <conditionalFormatting sqref="AJ9:AX607">
    <cfRule type="expression" dxfId="0" priority="27">
      <formula>AJ$8="Sun"</formula>
    </cfRule>
  </conditionalFormatting>
  <dataValidations>
    <dataValidation type="list" allowBlank="1" showErrorMessage="1" sqref="E8:AI607">
      <formula1>"P,L,H,HD,SL,CL,NH,FH,T,ML,EL"</formula1>
    </dataValidation>
    <dataValidation type="list" allowBlank="1" showErrorMessage="1" sqref="C5">
      <formula1>#REF!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2.25"/>
    <col customWidth="1" min="3" max="3" width="16.25"/>
    <col customWidth="1" min="4" max="5" width="14.75"/>
    <col customWidth="1" min="6" max="6" width="13.5"/>
    <col customWidth="1" min="7" max="7" width="12.63"/>
    <col customWidth="1" min="8" max="8" width="10.13"/>
    <col customWidth="1" min="9" max="11" width="7.63"/>
    <col customWidth="1" min="12" max="12" width="2.88"/>
  </cols>
  <sheetData>
    <row r="1" ht="18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</row>
    <row r="2">
      <c r="A2" s="3"/>
      <c r="B2" s="39"/>
      <c r="C2" s="6" t="s">
        <v>0</v>
      </c>
      <c r="D2" s="7"/>
      <c r="E2" s="7"/>
      <c r="F2" s="7"/>
      <c r="G2" s="7"/>
      <c r="H2" s="7"/>
      <c r="I2" s="7"/>
      <c r="J2" s="7"/>
      <c r="K2" s="8"/>
      <c r="L2" s="40"/>
    </row>
    <row r="3">
      <c r="A3" s="3"/>
      <c r="B3" s="41"/>
      <c r="C3" s="42" t="s">
        <v>126</v>
      </c>
      <c r="D3" s="15"/>
      <c r="E3" s="15"/>
      <c r="F3" s="15"/>
      <c r="G3" s="15"/>
      <c r="H3" s="15"/>
      <c r="I3" s="15"/>
      <c r="J3" s="15"/>
      <c r="K3" s="16"/>
      <c r="L3" s="40"/>
    </row>
    <row r="4">
      <c r="A4" s="3"/>
      <c r="B4" s="24"/>
      <c r="C4" s="24"/>
      <c r="D4" s="24"/>
      <c r="E4" s="24"/>
      <c r="F4" s="24"/>
      <c r="G4" s="24"/>
      <c r="H4" s="24"/>
      <c r="I4" s="24"/>
      <c r="J4" s="24"/>
      <c r="K4" s="24"/>
      <c r="L4" s="40"/>
    </row>
    <row r="5">
      <c r="A5" s="3"/>
      <c r="B5" s="43" t="s">
        <v>127</v>
      </c>
      <c r="C5" s="15"/>
      <c r="D5" s="15"/>
      <c r="E5" s="15"/>
      <c r="F5" s="15"/>
      <c r="G5" s="15"/>
      <c r="H5" s="15"/>
      <c r="I5" s="15"/>
      <c r="J5" s="15"/>
      <c r="K5" s="16"/>
      <c r="L5" s="40"/>
    </row>
    <row r="6">
      <c r="A6" s="3"/>
      <c r="B6" s="44" t="s">
        <v>128</v>
      </c>
      <c r="C6" s="45"/>
      <c r="D6" s="45"/>
      <c r="E6" s="45"/>
      <c r="F6" s="45"/>
      <c r="G6" s="45"/>
      <c r="H6" s="45"/>
      <c r="I6" s="45"/>
      <c r="J6" s="45"/>
      <c r="K6" s="46"/>
      <c r="L6" s="40"/>
    </row>
    <row r="7" ht="18.75" customHeight="1">
      <c r="A7" s="3"/>
      <c r="B7" s="47" t="s">
        <v>5</v>
      </c>
      <c r="C7" s="47"/>
      <c r="D7" s="47" t="s">
        <v>129</v>
      </c>
      <c r="E7" s="47"/>
      <c r="F7" s="48" t="s">
        <v>130</v>
      </c>
      <c r="G7" s="16"/>
      <c r="H7" s="48"/>
      <c r="I7" s="15"/>
      <c r="J7" s="15"/>
      <c r="K7" s="16"/>
      <c r="L7" s="40"/>
    </row>
    <row r="8" ht="18.75" customHeight="1">
      <c r="A8" s="3"/>
      <c r="B8" s="49"/>
      <c r="C8" s="45"/>
      <c r="D8" s="45"/>
      <c r="E8" s="45"/>
      <c r="F8" s="45"/>
      <c r="G8" s="45"/>
      <c r="H8" s="45"/>
      <c r="I8" s="45"/>
      <c r="J8" s="45"/>
      <c r="K8" s="46"/>
      <c r="L8" s="40"/>
    </row>
    <row r="9" ht="18.75" customHeight="1">
      <c r="A9" s="3"/>
      <c r="B9" s="48" t="s">
        <v>4</v>
      </c>
      <c r="C9" s="15"/>
      <c r="D9" s="16"/>
      <c r="E9" s="47" t="s">
        <v>131</v>
      </c>
      <c r="F9" s="47" t="s">
        <v>132</v>
      </c>
      <c r="G9" s="47" t="s">
        <v>133</v>
      </c>
      <c r="H9" s="47" t="s">
        <v>132</v>
      </c>
      <c r="I9" s="48" t="s">
        <v>134</v>
      </c>
      <c r="J9" s="15"/>
      <c r="K9" s="16"/>
      <c r="L9" s="40"/>
    </row>
    <row r="10" ht="18.75" customHeight="1">
      <c r="A10" s="3"/>
      <c r="B10" s="50"/>
      <c r="C10" s="45"/>
      <c r="D10" s="46"/>
      <c r="E10" s="51"/>
      <c r="F10" s="51"/>
      <c r="G10" s="51"/>
      <c r="H10" s="51"/>
      <c r="I10" s="50"/>
      <c r="J10" s="45"/>
      <c r="K10" s="46"/>
      <c r="L10" s="40"/>
    </row>
    <row r="11" ht="18.75" customHeight="1">
      <c r="A11" s="3"/>
      <c r="B11" s="52"/>
      <c r="C11" s="15"/>
      <c r="D11" s="16"/>
      <c r="E11" s="53"/>
      <c r="F11" s="53"/>
      <c r="G11" s="53"/>
      <c r="H11" s="53"/>
      <c r="I11" s="52"/>
      <c r="J11" s="15"/>
      <c r="K11" s="16"/>
      <c r="L11" s="40"/>
    </row>
    <row r="12" ht="18.75" customHeight="1">
      <c r="A12" s="3"/>
      <c r="B12" s="50"/>
      <c r="C12" s="45"/>
      <c r="D12" s="46"/>
      <c r="E12" s="51"/>
      <c r="F12" s="51"/>
      <c r="G12" s="51"/>
      <c r="H12" s="51"/>
      <c r="I12" s="50"/>
      <c r="J12" s="45"/>
      <c r="K12" s="46"/>
      <c r="L12" s="40"/>
    </row>
    <row r="13" ht="18.75" customHeight="1">
      <c r="A13" s="3"/>
      <c r="B13" s="52"/>
      <c r="C13" s="15"/>
      <c r="D13" s="16"/>
      <c r="E13" s="53"/>
      <c r="F13" s="53"/>
      <c r="G13" s="53"/>
      <c r="H13" s="53"/>
      <c r="I13" s="52"/>
      <c r="J13" s="15"/>
      <c r="K13" s="16"/>
      <c r="L13" s="40"/>
    </row>
    <row r="14" ht="18.75" customHeight="1">
      <c r="A14" s="3"/>
      <c r="B14" s="50"/>
      <c r="C14" s="45"/>
      <c r="D14" s="46"/>
      <c r="E14" s="51"/>
      <c r="F14" s="51"/>
      <c r="G14" s="51"/>
      <c r="H14" s="51"/>
      <c r="I14" s="50"/>
      <c r="J14" s="45"/>
      <c r="K14" s="46"/>
      <c r="L14" s="40"/>
    </row>
    <row r="15" ht="18.75" customHeight="1">
      <c r="A15" s="3"/>
      <c r="B15" s="52"/>
      <c r="C15" s="15"/>
      <c r="D15" s="16"/>
      <c r="E15" s="53"/>
      <c r="F15" s="53"/>
      <c r="G15" s="53"/>
      <c r="H15" s="53"/>
      <c r="I15" s="52"/>
      <c r="J15" s="15"/>
      <c r="K15" s="16"/>
      <c r="L15" s="40"/>
    </row>
    <row r="16" ht="18.75" customHeight="1">
      <c r="A16" s="3"/>
      <c r="B16" s="50"/>
      <c r="C16" s="45"/>
      <c r="D16" s="46"/>
      <c r="E16" s="51"/>
      <c r="F16" s="51"/>
      <c r="G16" s="51"/>
      <c r="H16" s="51"/>
      <c r="I16" s="50"/>
      <c r="J16" s="45"/>
      <c r="K16" s="46"/>
      <c r="L16" s="40"/>
    </row>
    <row r="17" ht="18.75" customHeight="1">
      <c r="A17" s="3"/>
      <c r="B17" s="52"/>
      <c r="C17" s="15"/>
      <c r="D17" s="16"/>
      <c r="E17" s="53"/>
      <c r="F17" s="53"/>
      <c r="G17" s="53"/>
      <c r="H17" s="53"/>
      <c r="I17" s="52"/>
      <c r="J17" s="15"/>
      <c r="K17" s="16"/>
      <c r="L17" s="40"/>
    </row>
    <row r="18" ht="18.75" customHeight="1">
      <c r="A18" s="3"/>
      <c r="B18" s="50"/>
      <c r="C18" s="45"/>
      <c r="D18" s="46"/>
      <c r="E18" s="51"/>
      <c r="F18" s="51"/>
      <c r="G18" s="51"/>
      <c r="H18" s="51"/>
      <c r="I18" s="50"/>
      <c r="J18" s="45"/>
      <c r="K18" s="46"/>
      <c r="L18" s="40"/>
    </row>
    <row r="19" ht="18.75" customHeight="1">
      <c r="A19" s="3"/>
      <c r="B19" s="52"/>
      <c r="C19" s="15"/>
      <c r="D19" s="16"/>
      <c r="E19" s="53"/>
      <c r="F19" s="53"/>
      <c r="G19" s="53"/>
      <c r="H19" s="53"/>
      <c r="I19" s="52"/>
      <c r="J19" s="15"/>
      <c r="K19" s="16"/>
      <c r="L19" s="40"/>
    </row>
    <row r="20" ht="18.75" customHeight="1">
      <c r="A20" s="3"/>
      <c r="B20" s="50"/>
      <c r="C20" s="45"/>
      <c r="D20" s="46"/>
      <c r="E20" s="51"/>
      <c r="F20" s="51"/>
      <c r="G20" s="51"/>
      <c r="H20" s="51"/>
      <c r="I20" s="50"/>
      <c r="J20" s="45"/>
      <c r="K20" s="46"/>
      <c r="L20" s="40"/>
    </row>
    <row r="21" ht="18.75" customHeight="1">
      <c r="A21" s="3"/>
      <c r="B21" s="52"/>
      <c r="C21" s="15"/>
      <c r="D21" s="16"/>
      <c r="E21" s="53"/>
      <c r="F21" s="53"/>
      <c r="G21" s="53"/>
      <c r="H21" s="53"/>
      <c r="I21" s="52"/>
      <c r="J21" s="15"/>
      <c r="K21" s="16"/>
      <c r="L21" s="40"/>
    </row>
    <row r="22" ht="18.75" customHeight="1">
      <c r="A22" s="3"/>
      <c r="B22" s="50"/>
      <c r="C22" s="45"/>
      <c r="D22" s="46"/>
      <c r="E22" s="51"/>
      <c r="F22" s="51"/>
      <c r="G22" s="51"/>
      <c r="H22" s="51"/>
      <c r="I22" s="50"/>
      <c r="J22" s="45"/>
      <c r="K22" s="46"/>
      <c r="L22" s="40"/>
    </row>
    <row r="23" ht="18.75" customHeight="1">
      <c r="A23" s="3"/>
      <c r="B23" s="52"/>
      <c r="C23" s="15"/>
      <c r="D23" s="16"/>
      <c r="E23" s="53"/>
      <c r="F23" s="53"/>
      <c r="G23" s="53"/>
      <c r="H23" s="53"/>
      <c r="I23" s="52"/>
      <c r="J23" s="15"/>
      <c r="K23" s="16"/>
      <c r="L23" s="40"/>
    </row>
    <row r="24" ht="18.75" customHeight="1">
      <c r="A24" s="3"/>
      <c r="B24" s="50"/>
      <c r="C24" s="45"/>
      <c r="D24" s="46"/>
      <c r="E24" s="51"/>
      <c r="F24" s="51"/>
      <c r="G24" s="51"/>
      <c r="H24" s="51"/>
      <c r="I24" s="50"/>
      <c r="J24" s="45"/>
      <c r="K24" s="46"/>
      <c r="L24" s="40"/>
    </row>
    <row r="25" ht="18.75" customHeight="1">
      <c r="A25" s="3"/>
      <c r="B25" s="52"/>
      <c r="C25" s="15"/>
      <c r="D25" s="16"/>
      <c r="E25" s="53"/>
      <c r="F25" s="53"/>
      <c r="G25" s="53"/>
      <c r="H25" s="53"/>
      <c r="I25" s="52"/>
      <c r="J25" s="15"/>
      <c r="K25" s="16"/>
      <c r="L25" s="40"/>
    </row>
    <row r="26" ht="18.75" customHeight="1">
      <c r="A26" s="3"/>
      <c r="B26" s="50"/>
      <c r="C26" s="45"/>
      <c r="D26" s="46"/>
      <c r="E26" s="51"/>
      <c r="F26" s="51"/>
      <c r="G26" s="51"/>
      <c r="H26" s="51"/>
      <c r="I26" s="50"/>
      <c r="J26" s="45"/>
      <c r="K26" s="46"/>
      <c r="L26" s="40"/>
    </row>
    <row r="27" ht="18.75" customHeight="1">
      <c r="A27" s="3"/>
      <c r="B27" s="52"/>
      <c r="C27" s="15"/>
      <c r="D27" s="16"/>
      <c r="E27" s="53"/>
      <c r="F27" s="53"/>
      <c r="G27" s="53"/>
      <c r="H27" s="53"/>
      <c r="I27" s="52"/>
      <c r="J27" s="15"/>
      <c r="K27" s="16"/>
      <c r="L27" s="40"/>
    </row>
    <row r="28" ht="18.75" customHeight="1">
      <c r="A28" s="3"/>
      <c r="B28" s="50"/>
      <c r="C28" s="45"/>
      <c r="D28" s="46"/>
      <c r="E28" s="51"/>
      <c r="F28" s="51"/>
      <c r="G28" s="51"/>
      <c r="H28" s="51"/>
      <c r="I28" s="50"/>
      <c r="J28" s="45"/>
      <c r="K28" s="46"/>
      <c r="L28" s="40"/>
    </row>
    <row r="29" ht="18.75" customHeight="1">
      <c r="A29" s="3"/>
      <c r="B29" s="52"/>
      <c r="C29" s="15"/>
      <c r="D29" s="16"/>
      <c r="E29" s="53"/>
      <c r="F29" s="53"/>
      <c r="G29" s="53"/>
      <c r="H29" s="53"/>
      <c r="I29" s="52"/>
      <c r="J29" s="15"/>
      <c r="K29" s="16"/>
      <c r="L29" s="40"/>
    </row>
    <row r="30" ht="18.75" customHeight="1">
      <c r="A30" s="3"/>
      <c r="B30" s="50"/>
      <c r="C30" s="45"/>
      <c r="D30" s="46"/>
      <c r="E30" s="51"/>
      <c r="F30" s="51"/>
      <c r="G30" s="51"/>
      <c r="H30" s="51"/>
      <c r="I30" s="50"/>
      <c r="J30" s="45"/>
      <c r="K30" s="46"/>
      <c r="L30" s="40"/>
    </row>
    <row r="31" ht="18.75" customHeight="1">
      <c r="A31" s="3"/>
      <c r="B31" s="52"/>
      <c r="C31" s="15"/>
      <c r="D31" s="16"/>
      <c r="E31" s="53"/>
      <c r="F31" s="53"/>
      <c r="G31" s="53"/>
      <c r="H31" s="53"/>
      <c r="I31" s="52"/>
      <c r="J31" s="15"/>
      <c r="K31" s="16"/>
      <c r="L31" s="40"/>
    </row>
    <row r="32" ht="18.75" customHeight="1">
      <c r="A32" s="3"/>
      <c r="B32" s="50"/>
      <c r="C32" s="45"/>
      <c r="D32" s="46"/>
      <c r="E32" s="51"/>
      <c r="F32" s="51"/>
      <c r="G32" s="51"/>
      <c r="H32" s="51"/>
      <c r="I32" s="50"/>
      <c r="J32" s="45"/>
      <c r="K32" s="46"/>
      <c r="L32" s="40"/>
    </row>
    <row r="33" ht="18.75" customHeight="1">
      <c r="A33" s="3"/>
      <c r="B33" s="52"/>
      <c r="C33" s="15"/>
      <c r="D33" s="16"/>
      <c r="E33" s="53"/>
      <c r="F33" s="53"/>
      <c r="G33" s="53"/>
      <c r="H33" s="53"/>
      <c r="I33" s="52"/>
      <c r="J33" s="15"/>
      <c r="K33" s="16"/>
      <c r="L33" s="40"/>
    </row>
    <row r="34" ht="18.75" customHeight="1">
      <c r="A34" s="3"/>
      <c r="B34" s="50"/>
      <c r="C34" s="45"/>
      <c r="D34" s="46"/>
      <c r="E34" s="51"/>
      <c r="F34" s="51"/>
      <c r="G34" s="51"/>
      <c r="H34" s="51"/>
      <c r="I34" s="50"/>
      <c r="J34" s="45"/>
      <c r="K34" s="46"/>
      <c r="L34" s="40"/>
    </row>
    <row r="35" ht="18.75" customHeight="1">
      <c r="A35" s="3"/>
      <c r="B35" s="52"/>
      <c r="C35" s="15"/>
      <c r="D35" s="16"/>
      <c r="E35" s="53"/>
      <c r="F35" s="53"/>
      <c r="G35" s="53"/>
      <c r="H35" s="53"/>
      <c r="I35" s="52"/>
      <c r="J35" s="15"/>
      <c r="K35" s="16"/>
      <c r="L35" s="40"/>
    </row>
    <row r="36" ht="18.75" customHeight="1">
      <c r="A36" s="3"/>
      <c r="B36" s="50"/>
      <c r="C36" s="45"/>
      <c r="D36" s="46"/>
      <c r="E36" s="51"/>
      <c r="F36" s="51"/>
      <c r="G36" s="51"/>
      <c r="H36" s="51"/>
      <c r="I36" s="50"/>
      <c r="J36" s="45"/>
      <c r="K36" s="46"/>
      <c r="L36" s="40"/>
    </row>
    <row r="37" ht="18.75" customHeight="1">
      <c r="A37" s="3"/>
      <c r="B37" s="52"/>
      <c r="C37" s="15"/>
      <c r="D37" s="16"/>
      <c r="E37" s="53"/>
      <c r="F37" s="53"/>
      <c r="G37" s="53"/>
      <c r="H37" s="53"/>
      <c r="I37" s="52"/>
      <c r="J37" s="15"/>
      <c r="K37" s="16"/>
      <c r="L37" s="40"/>
    </row>
    <row r="38" ht="18.75" customHeight="1">
      <c r="A38" s="3"/>
      <c r="B38" s="50"/>
      <c r="C38" s="45"/>
      <c r="D38" s="46"/>
      <c r="E38" s="51"/>
      <c r="F38" s="51"/>
      <c r="G38" s="51"/>
      <c r="H38" s="51"/>
      <c r="I38" s="50"/>
      <c r="J38" s="45"/>
      <c r="K38" s="46"/>
      <c r="L38" s="40"/>
    </row>
    <row r="39" ht="18.75" customHeight="1">
      <c r="A39" s="3"/>
      <c r="B39" s="52"/>
      <c r="C39" s="15"/>
      <c r="D39" s="16"/>
      <c r="E39" s="53"/>
      <c r="F39" s="53"/>
      <c r="G39" s="53"/>
      <c r="H39" s="53"/>
      <c r="I39" s="52"/>
      <c r="J39" s="15"/>
      <c r="K39" s="16"/>
      <c r="L39" s="40"/>
    </row>
    <row r="40" ht="18.75" customHeight="1">
      <c r="A40" s="3"/>
      <c r="B40" s="50"/>
      <c r="C40" s="45"/>
      <c r="D40" s="46"/>
      <c r="E40" s="51"/>
      <c r="F40" s="51"/>
      <c r="G40" s="51"/>
      <c r="H40" s="51"/>
      <c r="I40" s="50"/>
      <c r="J40" s="45"/>
      <c r="K40" s="46"/>
      <c r="L40" s="40"/>
    </row>
    <row r="41" ht="18.75" customHeight="1">
      <c r="A41" s="3"/>
      <c r="B41" s="52"/>
      <c r="C41" s="15"/>
      <c r="D41" s="16"/>
      <c r="E41" s="53"/>
      <c r="F41" s="53"/>
      <c r="G41" s="53"/>
      <c r="H41" s="53"/>
      <c r="I41" s="52"/>
      <c r="J41" s="15"/>
      <c r="K41" s="16"/>
      <c r="L41" s="40"/>
    </row>
    <row r="42" ht="18.75" customHeight="1">
      <c r="A42" s="3"/>
      <c r="B42" s="50"/>
      <c r="C42" s="45"/>
      <c r="D42" s="46"/>
      <c r="E42" s="51"/>
      <c r="F42" s="51"/>
      <c r="G42" s="51"/>
      <c r="H42" s="51"/>
      <c r="I42" s="50"/>
      <c r="J42" s="45"/>
      <c r="K42" s="46"/>
      <c r="L42" s="40"/>
    </row>
    <row r="43" ht="18.75" customHeight="1">
      <c r="A43" s="3"/>
      <c r="B43" s="52"/>
      <c r="C43" s="15"/>
      <c r="D43" s="16"/>
      <c r="E43" s="53"/>
      <c r="F43" s="53"/>
      <c r="G43" s="53"/>
      <c r="H43" s="53"/>
      <c r="I43" s="52"/>
      <c r="J43" s="15"/>
      <c r="K43" s="16"/>
      <c r="L43" s="40"/>
    </row>
    <row r="44" ht="18.75" customHeight="1">
      <c r="A44" s="3"/>
      <c r="B44" s="50"/>
      <c r="C44" s="45"/>
      <c r="D44" s="46"/>
      <c r="E44" s="51"/>
      <c r="F44" s="51"/>
      <c r="G44" s="51"/>
      <c r="H44" s="51"/>
      <c r="I44" s="50"/>
      <c r="J44" s="45"/>
      <c r="K44" s="46"/>
      <c r="L44" s="40"/>
    </row>
    <row r="45" ht="18.75" customHeight="1">
      <c r="A45" s="3"/>
      <c r="B45" s="52"/>
      <c r="C45" s="15"/>
      <c r="D45" s="16"/>
      <c r="E45" s="53"/>
      <c r="F45" s="53"/>
      <c r="G45" s="53"/>
      <c r="H45" s="53"/>
      <c r="I45" s="52"/>
      <c r="J45" s="15"/>
      <c r="K45" s="16"/>
      <c r="L45" s="40"/>
    </row>
    <row r="46" ht="18.75" customHeight="1">
      <c r="A46" s="3"/>
      <c r="B46" s="50"/>
      <c r="C46" s="45"/>
      <c r="D46" s="46"/>
      <c r="E46" s="51"/>
      <c r="F46" s="51"/>
      <c r="G46" s="51"/>
      <c r="H46" s="51"/>
      <c r="I46" s="50"/>
      <c r="J46" s="45"/>
      <c r="K46" s="46"/>
      <c r="L46" s="40"/>
    </row>
    <row r="47" ht="18.75" customHeight="1">
      <c r="A47" s="3"/>
      <c r="B47" s="52"/>
      <c r="C47" s="15"/>
      <c r="D47" s="16"/>
      <c r="E47" s="53"/>
      <c r="F47" s="53"/>
      <c r="G47" s="53"/>
      <c r="H47" s="53"/>
      <c r="I47" s="52"/>
      <c r="J47" s="15"/>
      <c r="K47" s="16"/>
      <c r="L47" s="40"/>
    </row>
    <row r="48" ht="18.75" customHeight="1">
      <c r="A48" s="3"/>
      <c r="B48" s="50"/>
      <c r="C48" s="45"/>
      <c r="D48" s="46"/>
      <c r="E48" s="51"/>
      <c r="F48" s="51"/>
      <c r="G48" s="51"/>
      <c r="H48" s="51"/>
      <c r="I48" s="50"/>
      <c r="J48" s="45"/>
      <c r="K48" s="46"/>
      <c r="L48" s="40"/>
    </row>
    <row r="49" ht="18.75" customHeight="1">
      <c r="A49" s="3"/>
      <c r="B49" s="52"/>
      <c r="C49" s="15"/>
      <c r="D49" s="16"/>
      <c r="E49" s="53"/>
      <c r="F49" s="53"/>
      <c r="G49" s="53"/>
      <c r="H49" s="53"/>
      <c r="I49" s="52"/>
      <c r="J49" s="15"/>
      <c r="K49" s="16"/>
      <c r="L49" s="40"/>
    </row>
    <row r="50" ht="18.75" customHeight="1">
      <c r="A50" s="3"/>
      <c r="B50" s="50"/>
      <c r="C50" s="45"/>
      <c r="D50" s="46"/>
      <c r="E50" s="51"/>
      <c r="F50" s="51"/>
      <c r="G50" s="51"/>
      <c r="H50" s="51"/>
      <c r="I50" s="50"/>
      <c r="J50" s="45"/>
      <c r="K50" s="46"/>
      <c r="L50" s="40"/>
    </row>
    <row r="51" ht="18.75" customHeight="1">
      <c r="A51" s="3"/>
      <c r="B51" s="52"/>
      <c r="C51" s="15"/>
      <c r="D51" s="16"/>
      <c r="E51" s="53"/>
      <c r="F51" s="53"/>
      <c r="G51" s="53"/>
      <c r="H51" s="53"/>
      <c r="I51" s="52"/>
      <c r="J51" s="15"/>
      <c r="K51" s="16"/>
      <c r="L51" s="40"/>
    </row>
    <row r="52" ht="18.75" customHeight="1">
      <c r="A52" s="3"/>
      <c r="B52" s="50"/>
      <c r="C52" s="45"/>
      <c r="D52" s="46"/>
      <c r="E52" s="51"/>
      <c r="F52" s="51"/>
      <c r="G52" s="51"/>
      <c r="H52" s="51"/>
      <c r="I52" s="50"/>
      <c r="J52" s="45"/>
      <c r="K52" s="46"/>
      <c r="L52" s="40"/>
    </row>
    <row r="53" ht="18.75" customHeight="1">
      <c r="A53" s="3"/>
      <c r="B53" s="52"/>
      <c r="C53" s="15"/>
      <c r="D53" s="16"/>
      <c r="E53" s="53"/>
      <c r="F53" s="53"/>
      <c r="G53" s="53"/>
      <c r="H53" s="53"/>
      <c r="I53" s="52"/>
      <c r="J53" s="15"/>
      <c r="K53" s="16"/>
      <c r="L53" s="40"/>
    </row>
    <row r="54" ht="18.75" customHeight="1">
      <c r="A54" s="3"/>
      <c r="B54" s="50"/>
      <c r="C54" s="45"/>
      <c r="D54" s="46"/>
      <c r="E54" s="51"/>
      <c r="F54" s="51"/>
      <c r="G54" s="51"/>
      <c r="H54" s="51"/>
      <c r="I54" s="50"/>
      <c r="J54" s="45"/>
      <c r="K54" s="46"/>
      <c r="L54" s="40"/>
    </row>
    <row r="55" ht="18.75" customHeight="1">
      <c r="A55" s="3"/>
      <c r="B55" s="52"/>
      <c r="C55" s="15"/>
      <c r="D55" s="16"/>
      <c r="E55" s="53"/>
      <c r="F55" s="53"/>
      <c r="G55" s="53"/>
      <c r="H55" s="53"/>
      <c r="I55" s="52"/>
      <c r="J55" s="15"/>
      <c r="K55" s="16"/>
      <c r="L55" s="40"/>
    </row>
    <row r="56" ht="18.75" customHeight="1">
      <c r="A56" s="3"/>
      <c r="B56" s="50"/>
      <c r="C56" s="45"/>
      <c r="D56" s="46"/>
      <c r="E56" s="51"/>
      <c r="F56" s="51"/>
      <c r="G56" s="51"/>
      <c r="H56" s="51"/>
      <c r="I56" s="50"/>
      <c r="J56" s="45"/>
      <c r="K56" s="46"/>
      <c r="L56" s="40"/>
    </row>
    <row r="57" ht="18.75" customHeight="1">
      <c r="A57" s="3"/>
      <c r="B57" s="52"/>
      <c r="C57" s="15"/>
      <c r="D57" s="16"/>
      <c r="E57" s="53"/>
      <c r="F57" s="53"/>
      <c r="G57" s="53"/>
      <c r="H57" s="53"/>
      <c r="I57" s="52"/>
      <c r="J57" s="15"/>
      <c r="K57" s="16"/>
      <c r="L57" s="40"/>
    </row>
    <row r="58" ht="18.75" customHeight="1">
      <c r="A58" s="3"/>
      <c r="B58" s="50"/>
      <c r="C58" s="45"/>
      <c r="D58" s="46"/>
      <c r="E58" s="51"/>
      <c r="F58" s="51"/>
      <c r="G58" s="51"/>
      <c r="H58" s="51"/>
      <c r="I58" s="50"/>
      <c r="J58" s="45"/>
      <c r="K58" s="46"/>
      <c r="L58" s="40"/>
    </row>
    <row r="59" ht="18.75" customHeight="1">
      <c r="A59" s="3"/>
      <c r="B59" s="52"/>
      <c r="C59" s="15"/>
      <c r="D59" s="16"/>
      <c r="E59" s="53"/>
      <c r="F59" s="53"/>
      <c r="G59" s="53"/>
      <c r="H59" s="53"/>
      <c r="I59" s="52"/>
      <c r="J59" s="15"/>
      <c r="K59" s="16"/>
      <c r="L59" s="40"/>
    </row>
    <row r="60" ht="18.75" customHeight="1">
      <c r="A60" s="3"/>
      <c r="B60" s="50"/>
      <c r="C60" s="45"/>
      <c r="D60" s="46"/>
      <c r="E60" s="51"/>
      <c r="F60" s="51"/>
      <c r="G60" s="51"/>
      <c r="H60" s="51"/>
      <c r="I60" s="50"/>
      <c r="J60" s="45"/>
      <c r="K60" s="46"/>
      <c r="L60" s="40"/>
    </row>
    <row r="61" ht="18.75" customHeight="1">
      <c r="A61" s="3"/>
      <c r="B61" s="52"/>
      <c r="C61" s="15"/>
      <c r="D61" s="16"/>
      <c r="E61" s="53"/>
      <c r="F61" s="53"/>
      <c r="G61" s="53"/>
      <c r="H61" s="53"/>
      <c r="I61" s="52"/>
      <c r="J61" s="15"/>
      <c r="K61" s="16"/>
      <c r="L61" s="40"/>
    </row>
    <row r="62" ht="18.75" customHeight="1">
      <c r="A62" s="3"/>
      <c r="B62" s="50"/>
      <c r="C62" s="45"/>
      <c r="D62" s="46"/>
      <c r="E62" s="51"/>
      <c r="F62" s="51"/>
      <c r="G62" s="51"/>
      <c r="H62" s="51"/>
      <c r="I62" s="50"/>
      <c r="J62" s="45"/>
      <c r="K62" s="46"/>
      <c r="L62" s="40"/>
    </row>
    <row r="63" ht="15.75" customHeight="1">
      <c r="A63" s="1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1"/>
    </row>
  </sheetData>
  <mergeCells count="116"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8:D58"/>
    <mergeCell ref="B59:D59"/>
    <mergeCell ref="B60:D60"/>
    <mergeCell ref="B61:D61"/>
    <mergeCell ref="B62:D62"/>
    <mergeCell ref="B51:D51"/>
    <mergeCell ref="B52:D52"/>
    <mergeCell ref="B53:D53"/>
    <mergeCell ref="B54:D54"/>
    <mergeCell ref="B55:D55"/>
    <mergeCell ref="B56:D56"/>
    <mergeCell ref="B57:D57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9:K59"/>
    <mergeCell ref="I60:K60"/>
    <mergeCell ref="I61:K61"/>
    <mergeCell ref="I62:K62"/>
    <mergeCell ref="I52:K52"/>
    <mergeCell ref="I53:K53"/>
    <mergeCell ref="I54:K54"/>
    <mergeCell ref="I55:K55"/>
    <mergeCell ref="I56:K56"/>
    <mergeCell ref="I57:K57"/>
    <mergeCell ref="I58:K58"/>
    <mergeCell ref="B2:B3"/>
    <mergeCell ref="C2:K2"/>
    <mergeCell ref="C3:K3"/>
    <mergeCell ref="B5:K5"/>
    <mergeCell ref="B6:K6"/>
    <mergeCell ref="F7:G7"/>
    <mergeCell ref="H7:K7"/>
    <mergeCell ref="I11:K11"/>
    <mergeCell ref="I12:K12"/>
    <mergeCell ref="B8:K8"/>
    <mergeCell ref="B9:D9"/>
    <mergeCell ref="I9:K9"/>
    <mergeCell ref="B10:D10"/>
    <mergeCell ref="I10:K10"/>
    <mergeCell ref="B11:D11"/>
    <mergeCell ref="B12:D12"/>
    <mergeCell ref="B13:D13"/>
    <mergeCell ref="I13:K13"/>
    <mergeCell ref="B14:D14"/>
    <mergeCell ref="I14:K14"/>
    <mergeCell ref="B15:D15"/>
    <mergeCell ref="I15:K15"/>
    <mergeCell ref="I16:K16"/>
    <mergeCell ref="B16:D16"/>
    <mergeCell ref="B17:D17"/>
    <mergeCell ref="B18:D18"/>
    <mergeCell ref="B19:D19"/>
    <mergeCell ref="B20:D20"/>
    <mergeCell ref="B21:D21"/>
    <mergeCell ref="B22:D22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</mergeCells>
  <printOptions horizontalCentered="1"/>
  <pageMargins bottom="0.1968503937007874" footer="0.0" header="0.0" left="0.1968503937007874" right="0.1968503937007874" top="0.1968503937007874"/>
  <pageSetup paperSize="9" scale="73" orientation="portrait"/>
  <headerFooter>
    <oddFooter>&amp;LPrintable Daily Attendance&amp;RPrepared by: MSOfficeGeek.com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2.75"/>
    <col customWidth="1" min="2" max="2" width="17.38"/>
    <col customWidth="1" min="3" max="3" width="9.88"/>
    <col customWidth="1" min="4" max="34" width="5.0"/>
    <col customWidth="1" min="35" max="47" width="3.0"/>
    <col customWidth="1" min="48" max="48" width="8.0"/>
    <col customWidth="1" min="49" max="49" width="7.0"/>
    <col customWidth="1" min="50" max="50" width="2.5"/>
  </cols>
  <sheetData>
    <row r="1">
      <c r="A1" s="55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39"/>
      <c r="C2" s="56" t="s">
        <v>135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  <c r="AI2" s="9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5"/>
      <c r="AX2" s="57"/>
    </row>
    <row r="3" ht="47.25" customHeight="1">
      <c r="A3" s="1"/>
      <c r="B3" s="41"/>
      <c r="C3" s="42" t="s">
        <v>136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6"/>
      <c r="AI3" s="12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3"/>
      <c r="AX3" s="58"/>
    </row>
    <row r="4" hidden="1">
      <c r="A4" s="1"/>
      <c r="B4" s="33">
        <f>HLOOKUP(B7,$C$4:$M$5,2,0)</f>
        <v>10</v>
      </c>
      <c r="C4" s="33" t="s">
        <v>24</v>
      </c>
      <c r="D4" s="32" t="s">
        <v>124</v>
      </c>
      <c r="E4" s="32" t="s">
        <v>125</v>
      </c>
      <c r="F4" s="32" t="s">
        <v>137</v>
      </c>
      <c r="G4" s="32" t="s">
        <v>138</v>
      </c>
      <c r="H4" s="32" t="s">
        <v>139</v>
      </c>
      <c r="I4" s="32" t="s">
        <v>140</v>
      </c>
      <c r="J4" s="32" t="s">
        <v>141</v>
      </c>
      <c r="K4" s="32" t="s">
        <v>142</v>
      </c>
      <c r="L4" s="32" t="s">
        <v>143</v>
      </c>
      <c r="M4" s="32" t="s">
        <v>144</v>
      </c>
      <c r="N4" s="32" t="s">
        <v>145</v>
      </c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59"/>
    </row>
    <row r="5" hidden="1">
      <c r="A5" s="1"/>
      <c r="B5" s="36"/>
      <c r="C5" s="35">
        <v>1.0</v>
      </c>
      <c r="D5" s="35">
        <v>2.0</v>
      </c>
      <c r="E5" s="35">
        <v>3.0</v>
      </c>
      <c r="F5" s="35">
        <v>4.0</v>
      </c>
      <c r="G5" s="35">
        <v>5.0</v>
      </c>
      <c r="H5" s="35">
        <v>6.0</v>
      </c>
      <c r="I5" s="35">
        <v>7.0</v>
      </c>
      <c r="J5" s="35">
        <v>8.0</v>
      </c>
      <c r="K5" s="35">
        <v>9.0</v>
      </c>
      <c r="L5" s="35">
        <v>10.0</v>
      </c>
      <c r="M5" s="35">
        <v>11.0</v>
      </c>
      <c r="N5" s="36">
        <v>12.0</v>
      </c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58"/>
    </row>
    <row r="6">
      <c r="A6" s="1"/>
      <c r="B6" s="60">
        <v>2025.0</v>
      </c>
      <c r="C6" s="20" t="s">
        <v>129</v>
      </c>
      <c r="D6" s="20">
        <v>1.0</v>
      </c>
      <c r="E6" s="20">
        <v>2.0</v>
      </c>
      <c r="F6" s="20">
        <v>3.0</v>
      </c>
      <c r="G6" s="20">
        <v>4.0</v>
      </c>
      <c r="H6" s="20">
        <v>5.0</v>
      </c>
      <c r="I6" s="20">
        <v>6.0</v>
      </c>
      <c r="J6" s="20">
        <v>7.0</v>
      </c>
      <c r="K6" s="20">
        <v>8.0</v>
      </c>
      <c r="L6" s="20">
        <v>9.0</v>
      </c>
      <c r="M6" s="20">
        <v>10.0</v>
      </c>
      <c r="N6" s="20">
        <v>11.0</v>
      </c>
      <c r="O6" s="20">
        <v>12.0</v>
      </c>
      <c r="P6" s="20">
        <v>13.0</v>
      </c>
      <c r="Q6" s="20">
        <v>14.0</v>
      </c>
      <c r="R6" s="20">
        <v>15.0</v>
      </c>
      <c r="S6" s="20">
        <v>16.0</v>
      </c>
      <c r="T6" s="20">
        <v>17.0</v>
      </c>
      <c r="U6" s="20">
        <v>18.0</v>
      </c>
      <c r="V6" s="20">
        <v>19.0</v>
      </c>
      <c r="W6" s="20">
        <v>20.0</v>
      </c>
      <c r="X6" s="20">
        <v>21.0</v>
      </c>
      <c r="Y6" s="20">
        <v>22.0</v>
      </c>
      <c r="Z6" s="20">
        <v>23.0</v>
      </c>
      <c r="AA6" s="20">
        <v>24.0</v>
      </c>
      <c r="AB6" s="20">
        <v>25.0</v>
      </c>
      <c r="AC6" s="20">
        <v>26.0</v>
      </c>
      <c r="AD6" s="20">
        <v>27.0</v>
      </c>
      <c r="AE6" s="20">
        <v>28.0</v>
      </c>
      <c r="AF6" s="20">
        <v>29.0</v>
      </c>
      <c r="AG6" s="20">
        <v>30.0</v>
      </c>
      <c r="AH6" s="20">
        <v>31.0</v>
      </c>
      <c r="AI6" s="21" t="s">
        <v>2</v>
      </c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3"/>
      <c r="AX6" s="59"/>
    </row>
    <row r="7">
      <c r="A7" s="1"/>
      <c r="B7" s="61" t="s">
        <v>143</v>
      </c>
      <c r="C7" s="26" t="s">
        <v>146</v>
      </c>
      <c r="D7" s="26" t="str">
        <f t="shared" ref="D7:AH7" si="1">IF(D8="Sun","H","W")</f>
        <v>W</v>
      </c>
      <c r="E7" s="26" t="str">
        <f t="shared" si="1"/>
        <v>W</v>
      </c>
      <c r="F7" s="26" t="str">
        <f t="shared" si="1"/>
        <v>W</v>
      </c>
      <c r="G7" s="26" t="str">
        <f t="shared" si="1"/>
        <v>W</v>
      </c>
      <c r="H7" s="26" t="str">
        <f t="shared" si="1"/>
        <v>H</v>
      </c>
      <c r="I7" s="26" t="str">
        <f t="shared" si="1"/>
        <v>W</v>
      </c>
      <c r="J7" s="26" t="str">
        <f t="shared" si="1"/>
        <v>W</v>
      </c>
      <c r="K7" s="26" t="str">
        <f t="shared" si="1"/>
        <v>W</v>
      </c>
      <c r="L7" s="26" t="str">
        <f t="shared" si="1"/>
        <v>W</v>
      </c>
      <c r="M7" s="26" t="str">
        <f t="shared" si="1"/>
        <v>W</v>
      </c>
      <c r="N7" s="26" t="str">
        <f t="shared" si="1"/>
        <v>W</v>
      </c>
      <c r="O7" s="26" t="str">
        <f t="shared" si="1"/>
        <v>H</v>
      </c>
      <c r="P7" s="26" t="str">
        <f t="shared" si="1"/>
        <v>W</v>
      </c>
      <c r="Q7" s="26" t="str">
        <f t="shared" si="1"/>
        <v>W</v>
      </c>
      <c r="R7" s="26" t="str">
        <f t="shared" si="1"/>
        <v>W</v>
      </c>
      <c r="S7" s="26" t="str">
        <f t="shared" si="1"/>
        <v>W</v>
      </c>
      <c r="T7" s="26" t="str">
        <f t="shared" si="1"/>
        <v>W</v>
      </c>
      <c r="U7" s="26" t="str">
        <f t="shared" si="1"/>
        <v>W</v>
      </c>
      <c r="V7" s="26" t="str">
        <f t="shared" si="1"/>
        <v>H</v>
      </c>
      <c r="W7" s="26" t="str">
        <f t="shared" si="1"/>
        <v>W</v>
      </c>
      <c r="X7" s="26" t="str">
        <f t="shared" si="1"/>
        <v>W</v>
      </c>
      <c r="Y7" s="26" t="str">
        <f t="shared" si="1"/>
        <v>W</v>
      </c>
      <c r="Z7" s="26" t="str">
        <f t="shared" si="1"/>
        <v>W</v>
      </c>
      <c r="AA7" s="26" t="str">
        <f t="shared" si="1"/>
        <v>W</v>
      </c>
      <c r="AB7" s="26" t="str">
        <f t="shared" si="1"/>
        <v>W</v>
      </c>
      <c r="AC7" s="26" t="str">
        <f t="shared" si="1"/>
        <v>H</v>
      </c>
      <c r="AD7" s="26" t="str">
        <f t="shared" si="1"/>
        <v>W</v>
      </c>
      <c r="AE7" s="26" t="str">
        <f t="shared" si="1"/>
        <v>W</v>
      </c>
      <c r="AF7" s="26" t="str">
        <f t="shared" si="1"/>
        <v>W</v>
      </c>
      <c r="AG7" s="26" t="str">
        <f t="shared" si="1"/>
        <v>W</v>
      </c>
      <c r="AH7" s="26" t="str">
        <f t="shared" si="1"/>
        <v>W</v>
      </c>
      <c r="AI7" s="12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3"/>
      <c r="AX7" s="58"/>
    </row>
    <row r="8">
      <c r="A8" s="1"/>
      <c r="B8" s="20" t="s">
        <v>4</v>
      </c>
      <c r="C8" s="20" t="s">
        <v>5</v>
      </c>
      <c r="D8" s="62" t="str">
        <f t="shared" ref="D8:AH8" si="2">IFERROR(TEXT(DATE($B$6,$B$4,D$6),"ddd"),"")</f>
        <v>Wed</v>
      </c>
      <c r="E8" s="62" t="str">
        <f t="shared" si="2"/>
        <v>Thu</v>
      </c>
      <c r="F8" s="62" t="str">
        <f t="shared" si="2"/>
        <v>Fri</v>
      </c>
      <c r="G8" s="62" t="str">
        <f t="shared" si="2"/>
        <v>Sat</v>
      </c>
      <c r="H8" s="62" t="str">
        <f t="shared" si="2"/>
        <v>Sun</v>
      </c>
      <c r="I8" s="62" t="str">
        <f t="shared" si="2"/>
        <v>Mon</v>
      </c>
      <c r="J8" s="62" t="str">
        <f t="shared" si="2"/>
        <v>Tue</v>
      </c>
      <c r="K8" s="62" t="str">
        <f t="shared" si="2"/>
        <v>Wed</v>
      </c>
      <c r="L8" s="62" t="str">
        <f t="shared" si="2"/>
        <v>Thu</v>
      </c>
      <c r="M8" s="62" t="str">
        <f t="shared" si="2"/>
        <v>Fri</v>
      </c>
      <c r="N8" s="62" t="str">
        <f t="shared" si="2"/>
        <v>Sat</v>
      </c>
      <c r="O8" s="62" t="str">
        <f t="shared" si="2"/>
        <v>Sun</v>
      </c>
      <c r="P8" s="62" t="str">
        <f t="shared" si="2"/>
        <v>Mon</v>
      </c>
      <c r="Q8" s="62" t="str">
        <f t="shared" si="2"/>
        <v>Tue</v>
      </c>
      <c r="R8" s="62" t="str">
        <f t="shared" si="2"/>
        <v>Wed</v>
      </c>
      <c r="S8" s="62" t="str">
        <f t="shared" si="2"/>
        <v>Thu</v>
      </c>
      <c r="T8" s="62" t="str">
        <f t="shared" si="2"/>
        <v>Fri</v>
      </c>
      <c r="U8" s="62" t="str">
        <f t="shared" si="2"/>
        <v>Sat</v>
      </c>
      <c r="V8" s="62" t="str">
        <f t="shared" si="2"/>
        <v>Sun</v>
      </c>
      <c r="W8" s="62" t="str">
        <f t="shared" si="2"/>
        <v>Mon</v>
      </c>
      <c r="X8" s="62" t="str">
        <f t="shared" si="2"/>
        <v>Tue</v>
      </c>
      <c r="Y8" s="62" t="str">
        <f t="shared" si="2"/>
        <v>Wed</v>
      </c>
      <c r="Z8" s="62" t="str">
        <f t="shared" si="2"/>
        <v>Thu</v>
      </c>
      <c r="AA8" s="62" t="str">
        <f t="shared" si="2"/>
        <v>Fri</v>
      </c>
      <c r="AB8" s="62" t="str">
        <f t="shared" si="2"/>
        <v>Sat</v>
      </c>
      <c r="AC8" s="62" t="str">
        <f t="shared" si="2"/>
        <v>Sun</v>
      </c>
      <c r="AD8" s="62" t="str">
        <f t="shared" si="2"/>
        <v>Mon</v>
      </c>
      <c r="AE8" s="62" t="str">
        <f t="shared" si="2"/>
        <v>Tue</v>
      </c>
      <c r="AF8" s="62" t="str">
        <f t="shared" si="2"/>
        <v>Wed</v>
      </c>
      <c r="AG8" s="62" t="str">
        <f t="shared" si="2"/>
        <v>Thu</v>
      </c>
      <c r="AH8" s="62" t="str">
        <f t="shared" si="2"/>
        <v>Fri</v>
      </c>
      <c r="AI8" s="27" t="s">
        <v>6</v>
      </c>
      <c r="AJ8" s="20" t="s">
        <v>7</v>
      </c>
      <c r="AK8" s="20" t="s">
        <v>8</v>
      </c>
      <c r="AL8" s="20" t="s">
        <v>9</v>
      </c>
      <c r="AM8" s="20" t="s">
        <v>10</v>
      </c>
      <c r="AN8" s="20" t="s">
        <v>11</v>
      </c>
      <c r="AO8" s="27" t="s">
        <v>12</v>
      </c>
      <c r="AP8" s="20" t="s">
        <v>13</v>
      </c>
      <c r="AQ8" s="27" t="s">
        <v>14</v>
      </c>
      <c r="AR8" s="20" t="s">
        <v>15</v>
      </c>
      <c r="AS8" s="27" t="s">
        <v>16</v>
      </c>
      <c r="AT8" s="20" t="s">
        <v>17</v>
      </c>
      <c r="AU8" s="27" t="s">
        <v>18</v>
      </c>
      <c r="AV8" s="27" t="s">
        <v>19</v>
      </c>
      <c r="AW8" s="27" t="s">
        <v>20</v>
      </c>
      <c r="AX8" s="59"/>
    </row>
    <row r="9">
      <c r="A9" s="1"/>
      <c r="B9" s="63" t="s">
        <v>147</v>
      </c>
      <c r="C9" s="35" t="str">
        <f t="shared" ref="C9:C58" si="3">$B$7</f>
        <v>October</v>
      </c>
      <c r="D9" s="64" t="s">
        <v>6</v>
      </c>
      <c r="E9" s="64" t="s">
        <v>6</v>
      </c>
      <c r="F9" s="64" t="s">
        <v>6</v>
      </c>
      <c r="G9" s="64" t="s">
        <v>6</v>
      </c>
      <c r="H9" s="64" t="s">
        <v>25</v>
      </c>
      <c r="I9" s="65" t="s">
        <v>17</v>
      </c>
      <c r="J9" s="64" t="s">
        <v>11</v>
      </c>
      <c r="K9" s="36" t="s">
        <v>9</v>
      </c>
      <c r="L9" s="36" t="s">
        <v>10</v>
      </c>
      <c r="M9" s="36" t="s">
        <v>25</v>
      </c>
      <c r="N9" s="36" t="s">
        <v>12</v>
      </c>
      <c r="O9" s="36" t="s">
        <v>13</v>
      </c>
      <c r="P9" s="64" t="s">
        <v>6</v>
      </c>
      <c r="Q9" s="36" t="s">
        <v>6</v>
      </c>
      <c r="R9" s="36" t="s">
        <v>6</v>
      </c>
      <c r="S9" s="36" t="s">
        <v>6</v>
      </c>
      <c r="T9" s="36" t="s">
        <v>25</v>
      </c>
      <c r="U9" s="36" t="s">
        <v>6</v>
      </c>
      <c r="V9" s="36" t="s">
        <v>6</v>
      </c>
      <c r="W9" s="36" t="s">
        <v>6</v>
      </c>
      <c r="X9" s="36" t="s">
        <v>6</v>
      </c>
      <c r="Y9" s="36" t="s">
        <v>6</v>
      </c>
      <c r="Z9" s="36" t="s">
        <v>6</v>
      </c>
      <c r="AA9" s="36" t="s">
        <v>25</v>
      </c>
      <c r="AB9" s="36" t="s">
        <v>6</v>
      </c>
      <c r="AC9" s="36" t="s">
        <v>6</v>
      </c>
      <c r="AD9" s="36" t="s">
        <v>6</v>
      </c>
      <c r="AE9" s="36" t="s">
        <v>6</v>
      </c>
      <c r="AF9" s="36" t="s">
        <v>6</v>
      </c>
      <c r="AG9" s="36" t="s">
        <v>6</v>
      </c>
      <c r="AH9" s="36" t="s">
        <v>25</v>
      </c>
      <c r="AI9" s="36">
        <f t="shared" ref="AI9:AI58" si="4">COUNTIF(D9:AH9,"P")</f>
        <v>20</v>
      </c>
      <c r="AJ9" s="36">
        <f t="shared" ref="AJ9:AJ58" si="5">COUNTIF(D9:AH9,"L")</f>
        <v>0</v>
      </c>
      <c r="AK9" s="36">
        <f t="shared" ref="AK9:AK58" si="6">COUNTIF(D9:AH9,"HD")</f>
        <v>0</v>
      </c>
      <c r="AL9" s="36">
        <f t="shared" ref="AL9:AL58" si="7">COUNTIF(D9:AH9,"NH")</f>
        <v>1</v>
      </c>
      <c r="AM9" s="36">
        <f t="shared" ref="AM9:AM58" si="8">COUNTIF(D9:AH9,"FH")</f>
        <v>1</v>
      </c>
      <c r="AN9" s="36">
        <f t="shared" ref="AN9:AN58" si="9">COUNTIF(D9:AH9,"T")</f>
        <v>1</v>
      </c>
      <c r="AO9" s="36">
        <f t="shared" ref="AO9:AO58" si="10">COUNTIF(D9:AH9,"ML")</f>
        <v>1</v>
      </c>
      <c r="AP9" s="36">
        <f t="shared" ref="AP9:AP58" si="11">COUNTIF(D9:AH9,"EL")</f>
        <v>1</v>
      </c>
      <c r="AQ9" s="36">
        <v>1.0</v>
      </c>
      <c r="AR9" s="36">
        <f t="shared" ref="AR9:AR58" si="12">COUNTIF(D9:AH9,"SL")</f>
        <v>0</v>
      </c>
      <c r="AS9" s="36">
        <v>2.0</v>
      </c>
      <c r="AT9" s="36">
        <f t="shared" ref="AT9:AT58" si="13">COUNTIF(D9:AH9,"CL")</f>
        <v>1</v>
      </c>
      <c r="AU9" s="36">
        <v>2.0</v>
      </c>
      <c r="AV9" s="37">
        <f t="shared" ref="AV9:AV58" si="14">AI9+AJ9+AK9+AL9+AM9+AN9+AO9+AP9+AR9+AT9</f>
        <v>26</v>
      </c>
      <c r="AW9" s="37">
        <f t="shared" ref="AW9:AW58" si="15">AV9-AJ9</f>
        <v>26</v>
      </c>
      <c r="AX9" s="58"/>
    </row>
    <row r="10">
      <c r="A10" s="1"/>
      <c r="B10" s="66" t="s">
        <v>27</v>
      </c>
      <c r="C10" s="32" t="str">
        <f t="shared" si="3"/>
        <v>October</v>
      </c>
      <c r="D10" s="33" t="s">
        <v>6</v>
      </c>
      <c r="E10" s="33" t="s">
        <v>6</v>
      </c>
      <c r="F10" s="33" t="s">
        <v>25</v>
      </c>
      <c r="G10" s="67" t="s">
        <v>7</v>
      </c>
      <c r="H10" s="68" t="s">
        <v>25</v>
      </c>
      <c r="I10" s="33" t="s">
        <v>6</v>
      </c>
      <c r="J10" s="33" t="s">
        <v>6</v>
      </c>
      <c r="K10" s="33" t="s">
        <v>9</v>
      </c>
      <c r="L10" s="33" t="s">
        <v>10</v>
      </c>
      <c r="M10" s="33" t="s">
        <v>25</v>
      </c>
      <c r="N10" s="33" t="s">
        <v>6</v>
      </c>
      <c r="O10" s="33" t="s">
        <v>6</v>
      </c>
      <c r="P10" s="33" t="s">
        <v>6</v>
      </c>
      <c r="Q10" s="33" t="s">
        <v>6</v>
      </c>
      <c r="R10" s="33" t="s">
        <v>6</v>
      </c>
      <c r="S10" s="33" t="s">
        <v>6</v>
      </c>
      <c r="T10" s="33" t="s">
        <v>25</v>
      </c>
      <c r="U10" s="33" t="s">
        <v>6</v>
      </c>
      <c r="V10" s="33" t="s">
        <v>6</v>
      </c>
      <c r="W10" s="33" t="s">
        <v>6</v>
      </c>
      <c r="X10" s="33" t="s">
        <v>6</v>
      </c>
      <c r="Y10" s="33" t="s">
        <v>6</v>
      </c>
      <c r="Z10" s="33" t="s">
        <v>6</v>
      </c>
      <c r="AA10" s="33" t="s">
        <v>25</v>
      </c>
      <c r="AB10" s="33" t="s">
        <v>6</v>
      </c>
      <c r="AC10" s="33" t="s">
        <v>6</v>
      </c>
      <c r="AD10" s="33" t="s">
        <v>6</v>
      </c>
      <c r="AE10" s="33" t="s">
        <v>6</v>
      </c>
      <c r="AF10" s="33" t="s">
        <v>6</v>
      </c>
      <c r="AG10" s="33" t="s">
        <v>6</v>
      </c>
      <c r="AH10" s="33" t="s">
        <v>25</v>
      </c>
      <c r="AI10" s="33">
        <f t="shared" si="4"/>
        <v>22</v>
      </c>
      <c r="AJ10" s="33">
        <f t="shared" si="5"/>
        <v>1</v>
      </c>
      <c r="AK10" s="33">
        <f t="shared" si="6"/>
        <v>0</v>
      </c>
      <c r="AL10" s="33">
        <f t="shared" si="7"/>
        <v>1</v>
      </c>
      <c r="AM10" s="33">
        <f t="shared" si="8"/>
        <v>1</v>
      </c>
      <c r="AN10" s="33">
        <f t="shared" si="9"/>
        <v>0</v>
      </c>
      <c r="AO10" s="33">
        <f t="shared" si="10"/>
        <v>0</v>
      </c>
      <c r="AP10" s="33">
        <f t="shared" si="11"/>
        <v>0</v>
      </c>
      <c r="AQ10" s="33">
        <v>1.0</v>
      </c>
      <c r="AR10" s="33">
        <f t="shared" si="12"/>
        <v>0</v>
      </c>
      <c r="AS10" s="33">
        <v>2.0</v>
      </c>
      <c r="AT10" s="33">
        <f t="shared" si="13"/>
        <v>0</v>
      </c>
      <c r="AU10" s="33">
        <v>2.0</v>
      </c>
      <c r="AV10" s="34">
        <f t="shared" si="14"/>
        <v>25</v>
      </c>
      <c r="AW10" s="34">
        <f t="shared" si="15"/>
        <v>24</v>
      </c>
      <c r="AX10" s="59"/>
    </row>
    <row r="11">
      <c r="A11" s="1"/>
      <c r="B11" s="69" t="s">
        <v>29</v>
      </c>
      <c r="C11" s="35" t="str">
        <f t="shared" si="3"/>
        <v>October</v>
      </c>
      <c r="D11" s="36" t="s">
        <v>6</v>
      </c>
      <c r="E11" s="36" t="s">
        <v>6</v>
      </c>
      <c r="F11" s="36" t="s">
        <v>25</v>
      </c>
      <c r="G11" s="36" t="s">
        <v>6</v>
      </c>
      <c r="H11" s="64" t="s">
        <v>25</v>
      </c>
      <c r="I11" s="36" t="s">
        <v>6</v>
      </c>
      <c r="J11" s="36" t="s">
        <v>6</v>
      </c>
      <c r="K11" s="36" t="s">
        <v>9</v>
      </c>
      <c r="L11" s="36" t="s">
        <v>10</v>
      </c>
      <c r="M11" s="36" t="s">
        <v>25</v>
      </c>
      <c r="N11" s="36" t="s">
        <v>6</v>
      </c>
      <c r="O11" s="36" t="s">
        <v>6</v>
      </c>
      <c r="P11" s="36" t="s">
        <v>6</v>
      </c>
      <c r="Q11" s="36" t="s">
        <v>6</v>
      </c>
      <c r="R11" s="36" t="s">
        <v>6</v>
      </c>
      <c r="S11" s="36" t="s">
        <v>6</v>
      </c>
      <c r="T11" s="36" t="s">
        <v>25</v>
      </c>
      <c r="U11" s="36" t="s">
        <v>6</v>
      </c>
      <c r="V11" s="36" t="s">
        <v>8</v>
      </c>
      <c r="W11" s="36" t="s">
        <v>6</v>
      </c>
      <c r="X11" s="36" t="s">
        <v>6</v>
      </c>
      <c r="Y11" s="36" t="s">
        <v>6</v>
      </c>
      <c r="Z11" s="36" t="s">
        <v>6</v>
      </c>
      <c r="AA11" s="36" t="s">
        <v>25</v>
      </c>
      <c r="AB11" s="36" t="s">
        <v>6</v>
      </c>
      <c r="AC11" s="36" t="s">
        <v>6</v>
      </c>
      <c r="AD11" s="36" t="s">
        <v>6</v>
      </c>
      <c r="AE11" s="36" t="s">
        <v>6</v>
      </c>
      <c r="AF11" s="36" t="s">
        <v>6</v>
      </c>
      <c r="AG11" s="36" t="s">
        <v>6</v>
      </c>
      <c r="AH11" s="36" t="s">
        <v>25</v>
      </c>
      <c r="AI11" s="36">
        <f t="shared" si="4"/>
        <v>22</v>
      </c>
      <c r="AJ11" s="36">
        <f t="shared" si="5"/>
        <v>0</v>
      </c>
      <c r="AK11" s="36">
        <f t="shared" si="6"/>
        <v>1</v>
      </c>
      <c r="AL11" s="36">
        <f t="shared" si="7"/>
        <v>1</v>
      </c>
      <c r="AM11" s="36">
        <f t="shared" si="8"/>
        <v>1</v>
      </c>
      <c r="AN11" s="36">
        <f t="shared" si="9"/>
        <v>0</v>
      </c>
      <c r="AO11" s="36">
        <f t="shared" si="10"/>
        <v>0</v>
      </c>
      <c r="AP11" s="36">
        <f t="shared" si="11"/>
        <v>0</v>
      </c>
      <c r="AQ11" s="36">
        <v>1.0</v>
      </c>
      <c r="AR11" s="36">
        <f t="shared" si="12"/>
        <v>0</v>
      </c>
      <c r="AS11" s="36">
        <v>2.0</v>
      </c>
      <c r="AT11" s="36">
        <f t="shared" si="13"/>
        <v>0</v>
      </c>
      <c r="AU11" s="36">
        <v>2.0</v>
      </c>
      <c r="AV11" s="37">
        <f t="shared" si="14"/>
        <v>25</v>
      </c>
      <c r="AW11" s="37">
        <f t="shared" si="15"/>
        <v>25</v>
      </c>
      <c r="AX11" s="58"/>
    </row>
    <row r="12">
      <c r="A12" s="1"/>
      <c r="B12" s="66" t="s">
        <v>31</v>
      </c>
      <c r="C12" s="32" t="str">
        <f t="shared" si="3"/>
        <v>October</v>
      </c>
      <c r="D12" s="33" t="s">
        <v>6</v>
      </c>
      <c r="E12" s="33" t="s">
        <v>6</v>
      </c>
      <c r="F12" s="33" t="s">
        <v>25</v>
      </c>
      <c r="G12" s="33" t="s">
        <v>6</v>
      </c>
      <c r="H12" s="68" t="s">
        <v>6</v>
      </c>
      <c r="I12" s="33" t="s">
        <v>8</v>
      </c>
      <c r="J12" s="33" t="s">
        <v>6</v>
      </c>
      <c r="K12" s="33" t="s">
        <v>9</v>
      </c>
      <c r="L12" s="33" t="s">
        <v>10</v>
      </c>
      <c r="M12" s="33" t="s">
        <v>25</v>
      </c>
      <c r="N12" s="33" t="s">
        <v>6</v>
      </c>
      <c r="O12" s="33" t="s">
        <v>6</v>
      </c>
      <c r="P12" s="33" t="s">
        <v>6</v>
      </c>
      <c r="Q12" s="33" t="s">
        <v>6</v>
      </c>
      <c r="R12" s="33" t="s">
        <v>17</v>
      </c>
      <c r="S12" s="33" t="s">
        <v>6</v>
      </c>
      <c r="T12" s="33" t="s">
        <v>25</v>
      </c>
      <c r="U12" s="33" t="s">
        <v>6</v>
      </c>
      <c r="V12" s="33" t="s">
        <v>6</v>
      </c>
      <c r="W12" s="33" t="s">
        <v>6</v>
      </c>
      <c r="X12" s="33" t="s">
        <v>6</v>
      </c>
      <c r="Y12" s="33" t="s">
        <v>6</v>
      </c>
      <c r="Z12" s="33" t="s">
        <v>6</v>
      </c>
      <c r="AA12" s="33" t="s">
        <v>25</v>
      </c>
      <c r="AB12" s="33" t="s">
        <v>6</v>
      </c>
      <c r="AC12" s="33" t="s">
        <v>6</v>
      </c>
      <c r="AD12" s="33" t="s">
        <v>17</v>
      </c>
      <c r="AE12" s="33" t="s">
        <v>6</v>
      </c>
      <c r="AF12" s="33" t="s">
        <v>6</v>
      </c>
      <c r="AG12" s="33" t="s">
        <v>6</v>
      </c>
      <c r="AH12" s="33" t="s">
        <v>25</v>
      </c>
      <c r="AI12" s="33">
        <f t="shared" si="4"/>
        <v>21</v>
      </c>
      <c r="AJ12" s="33">
        <f t="shared" si="5"/>
        <v>0</v>
      </c>
      <c r="AK12" s="33">
        <f t="shared" si="6"/>
        <v>1</v>
      </c>
      <c r="AL12" s="33">
        <f t="shared" si="7"/>
        <v>1</v>
      </c>
      <c r="AM12" s="33">
        <f t="shared" si="8"/>
        <v>1</v>
      </c>
      <c r="AN12" s="33">
        <f t="shared" si="9"/>
        <v>0</v>
      </c>
      <c r="AO12" s="33">
        <f t="shared" si="10"/>
        <v>0</v>
      </c>
      <c r="AP12" s="33">
        <f t="shared" si="11"/>
        <v>0</v>
      </c>
      <c r="AQ12" s="33">
        <v>1.0</v>
      </c>
      <c r="AR12" s="33">
        <f t="shared" si="12"/>
        <v>0</v>
      </c>
      <c r="AS12" s="33">
        <v>2.0</v>
      </c>
      <c r="AT12" s="33">
        <f t="shared" si="13"/>
        <v>2</v>
      </c>
      <c r="AU12" s="33">
        <v>2.0</v>
      </c>
      <c r="AV12" s="34">
        <f t="shared" si="14"/>
        <v>26</v>
      </c>
      <c r="AW12" s="34">
        <f t="shared" si="15"/>
        <v>26</v>
      </c>
      <c r="AX12" s="59"/>
    </row>
    <row r="13">
      <c r="A13" s="1"/>
      <c r="B13" s="69" t="s">
        <v>33</v>
      </c>
      <c r="C13" s="35" t="str">
        <f t="shared" si="3"/>
        <v>October</v>
      </c>
      <c r="D13" s="36" t="s">
        <v>6</v>
      </c>
      <c r="E13" s="36" t="s">
        <v>6</v>
      </c>
      <c r="F13" s="36" t="s">
        <v>25</v>
      </c>
      <c r="G13" s="36" t="s">
        <v>6</v>
      </c>
      <c r="H13" s="36" t="s">
        <v>6</v>
      </c>
      <c r="I13" s="36" t="s">
        <v>6</v>
      </c>
      <c r="J13" s="36" t="s">
        <v>6</v>
      </c>
      <c r="K13" s="36" t="s">
        <v>9</v>
      </c>
      <c r="L13" s="36" t="s">
        <v>10</v>
      </c>
      <c r="M13" s="36" t="s">
        <v>25</v>
      </c>
      <c r="N13" s="36" t="s">
        <v>6</v>
      </c>
      <c r="O13" s="36" t="s">
        <v>6</v>
      </c>
      <c r="P13" s="64" t="s">
        <v>6</v>
      </c>
      <c r="Q13" s="36" t="s">
        <v>6</v>
      </c>
      <c r="R13" s="36" t="s">
        <v>6</v>
      </c>
      <c r="S13" s="64" t="s">
        <v>6</v>
      </c>
      <c r="T13" s="36" t="s">
        <v>25</v>
      </c>
      <c r="U13" s="36" t="s">
        <v>6</v>
      </c>
      <c r="V13" s="36" t="s">
        <v>6</v>
      </c>
      <c r="W13" s="36" t="s">
        <v>17</v>
      </c>
      <c r="X13" s="36" t="s">
        <v>6</v>
      </c>
      <c r="Y13" s="36" t="s">
        <v>6</v>
      </c>
      <c r="Z13" s="36" t="s">
        <v>6</v>
      </c>
      <c r="AA13" s="36" t="s">
        <v>25</v>
      </c>
      <c r="AB13" s="36" t="s">
        <v>6</v>
      </c>
      <c r="AC13" s="36" t="s">
        <v>6</v>
      </c>
      <c r="AD13" s="36" t="s">
        <v>7</v>
      </c>
      <c r="AE13" s="36" t="s">
        <v>6</v>
      </c>
      <c r="AF13" s="36" t="s">
        <v>15</v>
      </c>
      <c r="AG13" s="36" t="s">
        <v>6</v>
      </c>
      <c r="AH13" s="36" t="s">
        <v>25</v>
      </c>
      <c r="AI13" s="36">
        <f t="shared" si="4"/>
        <v>21</v>
      </c>
      <c r="AJ13" s="36">
        <f t="shared" si="5"/>
        <v>1</v>
      </c>
      <c r="AK13" s="36">
        <f t="shared" si="6"/>
        <v>0</v>
      </c>
      <c r="AL13" s="36">
        <f t="shared" si="7"/>
        <v>1</v>
      </c>
      <c r="AM13" s="36">
        <f t="shared" si="8"/>
        <v>1</v>
      </c>
      <c r="AN13" s="36">
        <f t="shared" si="9"/>
        <v>0</v>
      </c>
      <c r="AO13" s="36">
        <f t="shared" si="10"/>
        <v>0</v>
      </c>
      <c r="AP13" s="36">
        <f t="shared" si="11"/>
        <v>0</v>
      </c>
      <c r="AQ13" s="36">
        <v>1.0</v>
      </c>
      <c r="AR13" s="36">
        <f t="shared" si="12"/>
        <v>1</v>
      </c>
      <c r="AS13" s="36">
        <v>2.0</v>
      </c>
      <c r="AT13" s="36">
        <f t="shared" si="13"/>
        <v>1</v>
      </c>
      <c r="AU13" s="36">
        <v>2.0</v>
      </c>
      <c r="AV13" s="37">
        <f t="shared" si="14"/>
        <v>26</v>
      </c>
      <c r="AW13" s="37">
        <f t="shared" si="15"/>
        <v>25</v>
      </c>
      <c r="AX13" s="58"/>
    </row>
    <row r="14">
      <c r="A14" s="1"/>
      <c r="B14" s="66" t="s">
        <v>35</v>
      </c>
      <c r="C14" s="32" t="str">
        <f t="shared" si="3"/>
        <v>October</v>
      </c>
      <c r="D14" s="33" t="s">
        <v>6</v>
      </c>
      <c r="E14" s="33" t="s">
        <v>6</v>
      </c>
      <c r="F14" s="33" t="s">
        <v>25</v>
      </c>
      <c r="G14" s="33" t="s">
        <v>6</v>
      </c>
      <c r="H14" s="33" t="s">
        <v>6</v>
      </c>
      <c r="I14" s="33" t="s">
        <v>6</v>
      </c>
      <c r="J14" s="33" t="s">
        <v>6</v>
      </c>
      <c r="K14" s="33" t="s">
        <v>9</v>
      </c>
      <c r="L14" s="33" t="s">
        <v>10</v>
      </c>
      <c r="M14" s="33" t="s">
        <v>25</v>
      </c>
      <c r="N14" s="33" t="s">
        <v>6</v>
      </c>
      <c r="O14" s="33" t="s">
        <v>6</v>
      </c>
      <c r="P14" s="33" t="s">
        <v>6</v>
      </c>
      <c r="Q14" s="33" t="s">
        <v>6</v>
      </c>
      <c r="R14" s="33" t="s">
        <v>6</v>
      </c>
      <c r="S14" s="33" t="s">
        <v>6</v>
      </c>
      <c r="T14" s="33" t="s">
        <v>25</v>
      </c>
      <c r="U14" s="33" t="s">
        <v>6</v>
      </c>
      <c r="V14" s="33" t="s">
        <v>6</v>
      </c>
      <c r="W14" s="33" t="s">
        <v>6</v>
      </c>
      <c r="X14" s="33" t="s">
        <v>6</v>
      </c>
      <c r="Y14" s="33" t="s">
        <v>6</v>
      </c>
      <c r="Z14" s="33" t="s">
        <v>6</v>
      </c>
      <c r="AA14" s="33" t="s">
        <v>25</v>
      </c>
      <c r="AB14" s="33" t="s">
        <v>6</v>
      </c>
      <c r="AC14" s="33" t="s">
        <v>6</v>
      </c>
      <c r="AD14" s="33" t="s">
        <v>6</v>
      </c>
      <c r="AE14" s="33" t="s">
        <v>6</v>
      </c>
      <c r="AF14" s="33" t="s">
        <v>6</v>
      </c>
      <c r="AG14" s="33" t="s">
        <v>6</v>
      </c>
      <c r="AH14" s="33" t="s">
        <v>25</v>
      </c>
      <c r="AI14" s="33">
        <f t="shared" si="4"/>
        <v>24</v>
      </c>
      <c r="AJ14" s="33">
        <f t="shared" si="5"/>
        <v>0</v>
      </c>
      <c r="AK14" s="33">
        <f t="shared" si="6"/>
        <v>0</v>
      </c>
      <c r="AL14" s="33">
        <f t="shared" si="7"/>
        <v>1</v>
      </c>
      <c r="AM14" s="33">
        <f t="shared" si="8"/>
        <v>1</v>
      </c>
      <c r="AN14" s="33">
        <f t="shared" si="9"/>
        <v>0</v>
      </c>
      <c r="AO14" s="33">
        <f t="shared" si="10"/>
        <v>0</v>
      </c>
      <c r="AP14" s="33">
        <f t="shared" si="11"/>
        <v>0</v>
      </c>
      <c r="AQ14" s="33">
        <v>1.0</v>
      </c>
      <c r="AR14" s="33">
        <f t="shared" si="12"/>
        <v>0</v>
      </c>
      <c r="AS14" s="33">
        <v>2.0</v>
      </c>
      <c r="AT14" s="33">
        <f t="shared" si="13"/>
        <v>0</v>
      </c>
      <c r="AU14" s="33">
        <v>2.0</v>
      </c>
      <c r="AV14" s="34">
        <f t="shared" si="14"/>
        <v>26</v>
      </c>
      <c r="AW14" s="34">
        <f t="shared" si="15"/>
        <v>26</v>
      </c>
      <c r="AX14" s="59"/>
    </row>
    <row r="15">
      <c r="A15" s="1"/>
      <c r="B15" s="69" t="s">
        <v>37</v>
      </c>
      <c r="C15" s="35" t="str">
        <f t="shared" si="3"/>
        <v>October</v>
      </c>
      <c r="D15" s="36" t="s">
        <v>6</v>
      </c>
      <c r="E15" s="36" t="s">
        <v>6</v>
      </c>
      <c r="F15" s="36" t="s">
        <v>25</v>
      </c>
      <c r="G15" s="36" t="s">
        <v>6</v>
      </c>
      <c r="H15" s="36" t="s">
        <v>7</v>
      </c>
      <c r="I15" s="64" t="s">
        <v>6</v>
      </c>
      <c r="J15" s="36" t="s">
        <v>6</v>
      </c>
      <c r="K15" s="36" t="s">
        <v>9</v>
      </c>
      <c r="L15" s="36" t="s">
        <v>10</v>
      </c>
      <c r="M15" s="36" t="s">
        <v>25</v>
      </c>
      <c r="N15" s="36" t="s">
        <v>6</v>
      </c>
      <c r="O15" s="36" t="s">
        <v>6</v>
      </c>
      <c r="P15" s="36" t="s">
        <v>6</v>
      </c>
      <c r="Q15" s="36" t="s">
        <v>6</v>
      </c>
      <c r="R15" s="36" t="s">
        <v>6</v>
      </c>
      <c r="S15" s="36" t="s">
        <v>6</v>
      </c>
      <c r="T15" s="36" t="s">
        <v>25</v>
      </c>
      <c r="U15" s="36" t="s">
        <v>6</v>
      </c>
      <c r="V15" s="36" t="s">
        <v>6</v>
      </c>
      <c r="W15" s="36" t="s">
        <v>6</v>
      </c>
      <c r="X15" s="36" t="s">
        <v>15</v>
      </c>
      <c r="Y15" s="36" t="s">
        <v>6</v>
      </c>
      <c r="Z15" s="36" t="s">
        <v>6</v>
      </c>
      <c r="AA15" s="36" t="s">
        <v>25</v>
      </c>
      <c r="AB15" s="36" t="s">
        <v>6</v>
      </c>
      <c r="AC15" s="36" t="s">
        <v>6</v>
      </c>
      <c r="AD15" s="36" t="s">
        <v>6</v>
      </c>
      <c r="AE15" s="36" t="s">
        <v>6</v>
      </c>
      <c r="AF15" s="36" t="s">
        <v>6</v>
      </c>
      <c r="AG15" s="36" t="s">
        <v>6</v>
      </c>
      <c r="AH15" s="36" t="s">
        <v>25</v>
      </c>
      <c r="AI15" s="36">
        <f t="shared" si="4"/>
        <v>22</v>
      </c>
      <c r="AJ15" s="36">
        <f t="shared" si="5"/>
        <v>1</v>
      </c>
      <c r="AK15" s="36">
        <f t="shared" si="6"/>
        <v>0</v>
      </c>
      <c r="AL15" s="36">
        <f t="shared" si="7"/>
        <v>1</v>
      </c>
      <c r="AM15" s="36">
        <f t="shared" si="8"/>
        <v>1</v>
      </c>
      <c r="AN15" s="36">
        <f t="shared" si="9"/>
        <v>0</v>
      </c>
      <c r="AO15" s="36">
        <f t="shared" si="10"/>
        <v>0</v>
      </c>
      <c r="AP15" s="36">
        <f t="shared" si="11"/>
        <v>0</v>
      </c>
      <c r="AQ15" s="36">
        <v>1.0</v>
      </c>
      <c r="AR15" s="36">
        <f t="shared" si="12"/>
        <v>1</v>
      </c>
      <c r="AS15" s="36">
        <v>2.0</v>
      </c>
      <c r="AT15" s="36">
        <f t="shared" si="13"/>
        <v>0</v>
      </c>
      <c r="AU15" s="36">
        <v>2.0</v>
      </c>
      <c r="AV15" s="37">
        <f t="shared" si="14"/>
        <v>26</v>
      </c>
      <c r="AW15" s="37">
        <f t="shared" si="15"/>
        <v>25</v>
      </c>
      <c r="AX15" s="58"/>
    </row>
    <row r="16">
      <c r="A16" s="1"/>
      <c r="B16" s="66" t="s">
        <v>39</v>
      </c>
      <c r="C16" s="32" t="str">
        <f t="shared" si="3"/>
        <v>October</v>
      </c>
      <c r="D16" s="33" t="s">
        <v>6</v>
      </c>
      <c r="E16" s="33" t="s">
        <v>6</v>
      </c>
      <c r="F16" s="33" t="s">
        <v>25</v>
      </c>
      <c r="G16" s="33" t="s">
        <v>6</v>
      </c>
      <c r="H16" s="33" t="s">
        <v>6</v>
      </c>
      <c r="I16" s="33" t="s">
        <v>6</v>
      </c>
      <c r="J16" s="33" t="s">
        <v>6</v>
      </c>
      <c r="K16" s="33" t="s">
        <v>9</v>
      </c>
      <c r="L16" s="33" t="s">
        <v>10</v>
      </c>
      <c r="M16" s="33" t="s">
        <v>25</v>
      </c>
      <c r="N16" s="33" t="s">
        <v>6</v>
      </c>
      <c r="O16" s="33" t="s">
        <v>6</v>
      </c>
      <c r="P16" s="33" t="s">
        <v>6</v>
      </c>
      <c r="Q16" s="33" t="s">
        <v>6</v>
      </c>
      <c r="R16" s="33" t="s">
        <v>6</v>
      </c>
      <c r="S16" s="33" t="s">
        <v>6</v>
      </c>
      <c r="T16" s="33" t="s">
        <v>25</v>
      </c>
      <c r="U16" s="33" t="s">
        <v>6</v>
      </c>
      <c r="V16" s="33" t="s">
        <v>8</v>
      </c>
      <c r="W16" s="33" t="s">
        <v>6</v>
      </c>
      <c r="X16" s="33" t="s">
        <v>6</v>
      </c>
      <c r="Y16" s="33" t="s">
        <v>6</v>
      </c>
      <c r="Z16" s="33" t="s">
        <v>6</v>
      </c>
      <c r="AA16" s="33" t="s">
        <v>25</v>
      </c>
      <c r="AB16" s="33" t="s">
        <v>6</v>
      </c>
      <c r="AC16" s="33" t="s">
        <v>6</v>
      </c>
      <c r="AD16" s="33" t="s">
        <v>7</v>
      </c>
      <c r="AE16" s="33" t="s">
        <v>6</v>
      </c>
      <c r="AF16" s="33" t="s">
        <v>6</v>
      </c>
      <c r="AG16" s="33" t="s">
        <v>6</v>
      </c>
      <c r="AH16" s="33" t="s">
        <v>25</v>
      </c>
      <c r="AI16" s="33">
        <f t="shared" si="4"/>
        <v>22</v>
      </c>
      <c r="AJ16" s="33">
        <f t="shared" si="5"/>
        <v>1</v>
      </c>
      <c r="AK16" s="33">
        <f t="shared" si="6"/>
        <v>1</v>
      </c>
      <c r="AL16" s="33">
        <f t="shared" si="7"/>
        <v>1</v>
      </c>
      <c r="AM16" s="33">
        <f t="shared" si="8"/>
        <v>1</v>
      </c>
      <c r="AN16" s="33">
        <f t="shared" si="9"/>
        <v>0</v>
      </c>
      <c r="AO16" s="33">
        <f t="shared" si="10"/>
        <v>0</v>
      </c>
      <c r="AP16" s="33">
        <f t="shared" si="11"/>
        <v>0</v>
      </c>
      <c r="AQ16" s="33">
        <v>1.0</v>
      </c>
      <c r="AR16" s="33">
        <f t="shared" si="12"/>
        <v>0</v>
      </c>
      <c r="AS16" s="33">
        <v>2.0</v>
      </c>
      <c r="AT16" s="33">
        <f t="shared" si="13"/>
        <v>0</v>
      </c>
      <c r="AU16" s="33">
        <v>2.0</v>
      </c>
      <c r="AV16" s="34">
        <f t="shared" si="14"/>
        <v>26</v>
      </c>
      <c r="AW16" s="34">
        <f t="shared" si="15"/>
        <v>25</v>
      </c>
      <c r="AX16" s="59"/>
    </row>
    <row r="17">
      <c r="A17" s="1"/>
      <c r="B17" s="69" t="s">
        <v>41</v>
      </c>
      <c r="C17" s="35" t="str">
        <f t="shared" si="3"/>
        <v>October</v>
      </c>
      <c r="D17" s="36" t="s">
        <v>6</v>
      </c>
      <c r="E17" s="36" t="s">
        <v>6</v>
      </c>
      <c r="F17" s="36" t="s">
        <v>25</v>
      </c>
      <c r="G17" s="36" t="s">
        <v>6</v>
      </c>
      <c r="H17" s="36" t="s">
        <v>7</v>
      </c>
      <c r="I17" s="36" t="s">
        <v>6</v>
      </c>
      <c r="J17" s="36" t="s">
        <v>6</v>
      </c>
      <c r="K17" s="36" t="s">
        <v>9</v>
      </c>
      <c r="L17" s="36" t="s">
        <v>10</v>
      </c>
      <c r="M17" s="36" t="s">
        <v>25</v>
      </c>
      <c r="N17" s="36" t="s">
        <v>6</v>
      </c>
      <c r="O17" s="36" t="s">
        <v>6</v>
      </c>
      <c r="P17" s="36" t="s">
        <v>6</v>
      </c>
      <c r="Q17" s="36" t="s">
        <v>15</v>
      </c>
      <c r="R17" s="36" t="s">
        <v>6</v>
      </c>
      <c r="S17" s="36" t="s">
        <v>6</v>
      </c>
      <c r="T17" s="36" t="s">
        <v>25</v>
      </c>
      <c r="U17" s="36" t="s">
        <v>6</v>
      </c>
      <c r="V17" s="36" t="s">
        <v>6</v>
      </c>
      <c r="W17" s="36" t="s">
        <v>6</v>
      </c>
      <c r="X17" s="36" t="s">
        <v>6</v>
      </c>
      <c r="Y17" s="36" t="s">
        <v>6</v>
      </c>
      <c r="Z17" s="36" t="s">
        <v>6</v>
      </c>
      <c r="AA17" s="36" t="s">
        <v>25</v>
      </c>
      <c r="AB17" s="36" t="s">
        <v>6</v>
      </c>
      <c r="AC17" s="36" t="s">
        <v>6</v>
      </c>
      <c r="AD17" s="36" t="s">
        <v>6</v>
      </c>
      <c r="AE17" s="36" t="s">
        <v>6</v>
      </c>
      <c r="AF17" s="36" t="s">
        <v>6</v>
      </c>
      <c r="AG17" s="36" t="s">
        <v>6</v>
      </c>
      <c r="AH17" s="36" t="s">
        <v>25</v>
      </c>
      <c r="AI17" s="36">
        <f t="shared" si="4"/>
        <v>22</v>
      </c>
      <c r="AJ17" s="36">
        <f t="shared" si="5"/>
        <v>1</v>
      </c>
      <c r="AK17" s="36">
        <f t="shared" si="6"/>
        <v>0</v>
      </c>
      <c r="AL17" s="36">
        <f t="shared" si="7"/>
        <v>1</v>
      </c>
      <c r="AM17" s="36">
        <f t="shared" si="8"/>
        <v>1</v>
      </c>
      <c r="AN17" s="36">
        <f t="shared" si="9"/>
        <v>0</v>
      </c>
      <c r="AO17" s="36">
        <f t="shared" si="10"/>
        <v>0</v>
      </c>
      <c r="AP17" s="36">
        <f t="shared" si="11"/>
        <v>0</v>
      </c>
      <c r="AQ17" s="36">
        <v>1.0</v>
      </c>
      <c r="AR17" s="36">
        <f t="shared" si="12"/>
        <v>1</v>
      </c>
      <c r="AS17" s="36">
        <v>2.0</v>
      </c>
      <c r="AT17" s="36">
        <f t="shared" si="13"/>
        <v>0</v>
      </c>
      <c r="AU17" s="36">
        <v>2.0</v>
      </c>
      <c r="AV17" s="37">
        <f t="shared" si="14"/>
        <v>26</v>
      </c>
      <c r="AW17" s="37">
        <f t="shared" si="15"/>
        <v>25</v>
      </c>
      <c r="AX17" s="58"/>
    </row>
    <row r="18">
      <c r="A18" s="1"/>
      <c r="B18" s="66" t="s">
        <v>43</v>
      </c>
      <c r="C18" s="32" t="str">
        <f t="shared" si="3"/>
        <v>October</v>
      </c>
      <c r="D18" s="33" t="s">
        <v>6</v>
      </c>
      <c r="E18" s="33" t="s">
        <v>6</v>
      </c>
      <c r="F18" s="33" t="s">
        <v>25</v>
      </c>
      <c r="G18" s="68" t="s">
        <v>6</v>
      </c>
      <c r="H18" s="33" t="s">
        <v>6</v>
      </c>
      <c r="I18" s="68" t="s">
        <v>6</v>
      </c>
      <c r="J18" s="33" t="s">
        <v>6</v>
      </c>
      <c r="K18" s="33" t="s">
        <v>9</v>
      </c>
      <c r="L18" s="33" t="s">
        <v>10</v>
      </c>
      <c r="M18" s="33" t="s">
        <v>25</v>
      </c>
      <c r="N18" s="33" t="s">
        <v>6</v>
      </c>
      <c r="O18" s="33" t="s">
        <v>6</v>
      </c>
      <c r="P18" s="33" t="s">
        <v>6</v>
      </c>
      <c r="Q18" s="33" t="s">
        <v>6</v>
      </c>
      <c r="R18" s="33" t="s">
        <v>6</v>
      </c>
      <c r="S18" s="33" t="s">
        <v>6</v>
      </c>
      <c r="T18" s="33" t="s">
        <v>25</v>
      </c>
      <c r="U18" s="33" t="s">
        <v>7</v>
      </c>
      <c r="V18" s="33" t="s">
        <v>6</v>
      </c>
      <c r="W18" s="33" t="s">
        <v>6</v>
      </c>
      <c r="X18" s="33" t="s">
        <v>6</v>
      </c>
      <c r="Y18" s="33" t="s">
        <v>7</v>
      </c>
      <c r="Z18" s="33" t="s">
        <v>6</v>
      </c>
      <c r="AA18" s="33" t="s">
        <v>25</v>
      </c>
      <c r="AB18" s="33" t="s">
        <v>7</v>
      </c>
      <c r="AC18" s="33" t="s">
        <v>6</v>
      </c>
      <c r="AD18" s="33" t="s">
        <v>6</v>
      </c>
      <c r="AE18" s="33" t="s">
        <v>6</v>
      </c>
      <c r="AF18" s="33" t="s">
        <v>6</v>
      </c>
      <c r="AG18" s="33" t="s">
        <v>6</v>
      </c>
      <c r="AH18" s="33" t="s">
        <v>25</v>
      </c>
      <c r="AI18" s="33">
        <f t="shared" si="4"/>
        <v>21</v>
      </c>
      <c r="AJ18" s="33">
        <f t="shared" si="5"/>
        <v>3</v>
      </c>
      <c r="AK18" s="33">
        <f t="shared" si="6"/>
        <v>0</v>
      </c>
      <c r="AL18" s="33">
        <f t="shared" si="7"/>
        <v>1</v>
      </c>
      <c r="AM18" s="33">
        <f t="shared" si="8"/>
        <v>1</v>
      </c>
      <c r="AN18" s="33">
        <f t="shared" si="9"/>
        <v>0</v>
      </c>
      <c r="AO18" s="33">
        <f t="shared" si="10"/>
        <v>0</v>
      </c>
      <c r="AP18" s="33">
        <f t="shared" si="11"/>
        <v>0</v>
      </c>
      <c r="AQ18" s="33">
        <v>1.0</v>
      </c>
      <c r="AR18" s="33">
        <f t="shared" si="12"/>
        <v>0</v>
      </c>
      <c r="AS18" s="33">
        <v>2.0</v>
      </c>
      <c r="AT18" s="33">
        <f t="shared" si="13"/>
        <v>0</v>
      </c>
      <c r="AU18" s="33">
        <v>2.0</v>
      </c>
      <c r="AV18" s="34">
        <f t="shared" si="14"/>
        <v>26</v>
      </c>
      <c r="AW18" s="34">
        <f t="shared" si="15"/>
        <v>23</v>
      </c>
      <c r="AX18" s="59"/>
    </row>
    <row r="19">
      <c r="A19" s="1"/>
      <c r="B19" s="69" t="s">
        <v>45</v>
      </c>
      <c r="C19" s="35" t="str">
        <f t="shared" si="3"/>
        <v>October</v>
      </c>
      <c r="D19" s="36" t="s">
        <v>6</v>
      </c>
      <c r="E19" s="36" t="s">
        <v>6</v>
      </c>
      <c r="F19" s="36" t="s">
        <v>25</v>
      </c>
      <c r="G19" s="36" t="s">
        <v>6</v>
      </c>
      <c r="H19" s="36" t="s">
        <v>6</v>
      </c>
      <c r="I19" s="36" t="s">
        <v>6</v>
      </c>
      <c r="J19" s="36" t="s">
        <v>6</v>
      </c>
      <c r="K19" s="36" t="s">
        <v>9</v>
      </c>
      <c r="L19" s="36" t="s">
        <v>10</v>
      </c>
      <c r="M19" s="36" t="s">
        <v>25</v>
      </c>
      <c r="N19" s="36" t="s">
        <v>6</v>
      </c>
      <c r="O19" s="36" t="s">
        <v>6</v>
      </c>
      <c r="P19" s="36" t="s">
        <v>6</v>
      </c>
      <c r="Q19" s="36" t="s">
        <v>6</v>
      </c>
      <c r="R19" s="36" t="s">
        <v>6</v>
      </c>
      <c r="S19" s="36" t="s">
        <v>6</v>
      </c>
      <c r="T19" s="36" t="s">
        <v>25</v>
      </c>
      <c r="U19" s="36" t="s">
        <v>6</v>
      </c>
      <c r="V19" s="36" t="s">
        <v>6</v>
      </c>
      <c r="W19" s="36" t="s">
        <v>6</v>
      </c>
      <c r="X19" s="36" t="s">
        <v>6</v>
      </c>
      <c r="Y19" s="36" t="s">
        <v>6</v>
      </c>
      <c r="Z19" s="36" t="s">
        <v>6</v>
      </c>
      <c r="AA19" s="36" t="s">
        <v>25</v>
      </c>
      <c r="AB19" s="36" t="s">
        <v>6</v>
      </c>
      <c r="AC19" s="36" t="s">
        <v>6</v>
      </c>
      <c r="AD19" s="36" t="s">
        <v>6</v>
      </c>
      <c r="AE19" s="36" t="s">
        <v>6</v>
      </c>
      <c r="AF19" s="36" t="s">
        <v>6</v>
      </c>
      <c r="AG19" s="36" t="s">
        <v>6</v>
      </c>
      <c r="AH19" s="36" t="s">
        <v>25</v>
      </c>
      <c r="AI19" s="36">
        <f t="shared" si="4"/>
        <v>24</v>
      </c>
      <c r="AJ19" s="36">
        <f t="shared" si="5"/>
        <v>0</v>
      </c>
      <c r="AK19" s="36">
        <f t="shared" si="6"/>
        <v>0</v>
      </c>
      <c r="AL19" s="36">
        <f t="shared" si="7"/>
        <v>1</v>
      </c>
      <c r="AM19" s="36">
        <f t="shared" si="8"/>
        <v>1</v>
      </c>
      <c r="AN19" s="36">
        <f t="shared" si="9"/>
        <v>0</v>
      </c>
      <c r="AO19" s="36">
        <f t="shared" si="10"/>
        <v>0</v>
      </c>
      <c r="AP19" s="36">
        <f t="shared" si="11"/>
        <v>0</v>
      </c>
      <c r="AQ19" s="36">
        <v>1.0</v>
      </c>
      <c r="AR19" s="36">
        <f t="shared" si="12"/>
        <v>0</v>
      </c>
      <c r="AS19" s="36">
        <v>2.0</v>
      </c>
      <c r="AT19" s="36">
        <f t="shared" si="13"/>
        <v>0</v>
      </c>
      <c r="AU19" s="36">
        <v>2.0</v>
      </c>
      <c r="AV19" s="37">
        <f t="shared" si="14"/>
        <v>26</v>
      </c>
      <c r="AW19" s="37">
        <f t="shared" si="15"/>
        <v>26</v>
      </c>
      <c r="AX19" s="58"/>
    </row>
    <row r="20">
      <c r="A20" s="1"/>
      <c r="B20" s="66" t="s">
        <v>47</v>
      </c>
      <c r="C20" s="32" t="str">
        <f t="shared" si="3"/>
        <v>October</v>
      </c>
      <c r="D20" s="33" t="s">
        <v>6</v>
      </c>
      <c r="E20" s="33" t="s">
        <v>6</v>
      </c>
      <c r="F20" s="33" t="s">
        <v>25</v>
      </c>
      <c r="G20" s="33" t="s">
        <v>6</v>
      </c>
      <c r="H20" s="33" t="s">
        <v>7</v>
      </c>
      <c r="I20" s="33" t="s">
        <v>6</v>
      </c>
      <c r="J20" s="33" t="s">
        <v>6</v>
      </c>
      <c r="K20" s="33" t="s">
        <v>9</v>
      </c>
      <c r="L20" s="33" t="s">
        <v>10</v>
      </c>
      <c r="M20" s="33" t="s">
        <v>25</v>
      </c>
      <c r="N20" s="33" t="s">
        <v>6</v>
      </c>
      <c r="O20" s="33" t="s">
        <v>6</v>
      </c>
      <c r="P20" s="33" t="s">
        <v>7</v>
      </c>
      <c r="Q20" s="33" t="s">
        <v>6</v>
      </c>
      <c r="R20" s="33" t="s">
        <v>6</v>
      </c>
      <c r="S20" s="33" t="s">
        <v>6</v>
      </c>
      <c r="T20" s="33" t="s">
        <v>25</v>
      </c>
      <c r="U20" s="33" t="s">
        <v>6</v>
      </c>
      <c r="V20" s="33" t="s">
        <v>8</v>
      </c>
      <c r="W20" s="33" t="s">
        <v>6</v>
      </c>
      <c r="X20" s="33" t="s">
        <v>6</v>
      </c>
      <c r="Y20" s="33" t="s">
        <v>6</v>
      </c>
      <c r="Z20" s="68" t="s">
        <v>6</v>
      </c>
      <c r="AA20" s="33" t="s">
        <v>25</v>
      </c>
      <c r="AB20" s="33" t="s">
        <v>6</v>
      </c>
      <c r="AC20" s="33" t="s">
        <v>6</v>
      </c>
      <c r="AD20" s="33" t="s">
        <v>17</v>
      </c>
      <c r="AE20" s="33" t="s">
        <v>6</v>
      </c>
      <c r="AF20" s="33" t="s">
        <v>6</v>
      </c>
      <c r="AG20" s="33" t="s">
        <v>6</v>
      </c>
      <c r="AH20" s="33" t="s">
        <v>25</v>
      </c>
      <c r="AI20" s="33">
        <f t="shared" si="4"/>
        <v>20</v>
      </c>
      <c r="AJ20" s="33">
        <f t="shared" si="5"/>
        <v>2</v>
      </c>
      <c r="AK20" s="33">
        <f t="shared" si="6"/>
        <v>1</v>
      </c>
      <c r="AL20" s="33">
        <f t="shared" si="7"/>
        <v>1</v>
      </c>
      <c r="AM20" s="33">
        <f t="shared" si="8"/>
        <v>1</v>
      </c>
      <c r="AN20" s="33">
        <f t="shared" si="9"/>
        <v>0</v>
      </c>
      <c r="AO20" s="33">
        <f t="shared" si="10"/>
        <v>0</v>
      </c>
      <c r="AP20" s="33">
        <f t="shared" si="11"/>
        <v>0</v>
      </c>
      <c r="AQ20" s="33">
        <v>1.0</v>
      </c>
      <c r="AR20" s="33">
        <f t="shared" si="12"/>
        <v>0</v>
      </c>
      <c r="AS20" s="33">
        <v>2.0</v>
      </c>
      <c r="AT20" s="33">
        <f t="shared" si="13"/>
        <v>1</v>
      </c>
      <c r="AU20" s="33">
        <v>2.0</v>
      </c>
      <c r="AV20" s="34">
        <f t="shared" si="14"/>
        <v>26</v>
      </c>
      <c r="AW20" s="34">
        <f t="shared" si="15"/>
        <v>24</v>
      </c>
      <c r="AX20" s="59"/>
    </row>
    <row r="21" ht="15.75" customHeight="1">
      <c r="A21" s="1"/>
      <c r="B21" s="69" t="s">
        <v>49</v>
      </c>
      <c r="C21" s="35" t="str">
        <f t="shared" si="3"/>
        <v>October</v>
      </c>
      <c r="D21" s="36" t="s">
        <v>6</v>
      </c>
      <c r="E21" s="36" t="s">
        <v>6</v>
      </c>
      <c r="F21" s="36" t="s">
        <v>25</v>
      </c>
      <c r="G21" s="36" t="s">
        <v>6</v>
      </c>
      <c r="H21" s="36" t="s">
        <v>6</v>
      </c>
      <c r="I21" s="36" t="s">
        <v>6</v>
      </c>
      <c r="J21" s="36" t="s">
        <v>6</v>
      </c>
      <c r="K21" s="36" t="s">
        <v>9</v>
      </c>
      <c r="L21" s="36" t="s">
        <v>10</v>
      </c>
      <c r="M21" s="36" t="s">
        <v>25</v>
      </c>
      <c r="N21" s="36" t="s">
        <v>7</v>
      </c>
      <c r="O21" s="36" t="s">
        <v>6</v>
      </c>
      <c r="P21" s="36" t="s">
        <v>6</v>
      </c>
      <c r="Q21" s="36" t="s">
        <v>6</v>
      </c>
      <c r="R21" s="36" t="s">
        <v>6</v>
      </c>
      <c r="S21" s="36" t="s">
        <v>6</v>
      </c>
      <c r="T21" s="36" t="s">
        <v>25</v>
      </c>
      <c r="U21" s="64" t="s">
        <v>11</v>
      </c>
      <c r="V21" s="36" t="s">
        <v>11</v>
      </c>
      <c r="W21" s="36" t="s">
        <v>11</v>
      </c>
      <c r="X21" s="36" t="s">
        <v>11</v>
      </c>
      <c r="Y21" s="36" t="s">
        <v>11</v>
      </c>
      <c r="Z21" s="36" t="s">
        <v>11</v>
      </c>
      <c r="AA21" s="36" t="s">
        <v>25</v>
      </c>
      <c r="AB21" s="36" t="s">
        <v>6</v>
      </c>
      <c r="AC21" s="36" t="s">
        <v>6</v>
      </c>
      <c r="AD21" s="36" t="s">
        <v>6</v>
      </c>
      <c r="AE21" s="36" t="s">
        <v>6</v>
      </c>
      <c r="AF21" s="36" t="s">
        <v>15</v>
      </c>
      <c r="AG21" s="36" t="s">
        <v>6</v>
      </c>
      <c r="AH21" s="36" t="s">
        <v>25</v>
      </c>
      <c r="AI21" s="36">
        <f t="shared" si="4"/>
        <v>16</v>
      </c>
      <c r="AJ21" s="36">
        <f t="shared" si="5"/>
        <v>1</v>
      </c>
      <c r="AK21" s="36">
        <f t="shared" si="6"/>
        <v>0</v>
      </c>
      <c r="AL21" s="36">
        <f t="shared" si="7"/>
        <v>1</v>
      </c>
      <c r="AM21" s="36">
        <f t="shared" si="8"/>
        <v>1</v>
      </c>
      <c r="AN21" s="36">
        <f t="shared" si="9"/>
        <v>6</v>
      </c>
      <c r="AO21" s="36">
        <f t="shared" si="10"/>
        <v>0</v>
      </c>
      <c r="AP21" s="36">
        <f t="shared" si="11"/>
        <v>0</v>
      </c>
      <c r="AQ21" s="36">
        <v>1.0</v>
      </c>
      <c r="AR21" s="36">
        <f t="shared" si="12"/>
        <v>1</v>
      </c>
      <c r="AS21" s="36">
        <v>2.0</v>
      </c>
      <c r="AT21" s="36">
        <f t="shared" si="13"/>
        <v>0</v>
      </c>
      <c r="AU21" s="36">
        <v>2.0</v>
      </c>
      <c r="AV21" s="37">
        <f t="shared" si="14"/>
        <v>26</v>
      </c>
      <c r="AW21" s="37">
        <f t="shared" si="15"/>
        <v>25</v>
      </c>
      <c r="AX21" s="58"/>
    </row>
    <row r="22" ht="15.75" customHeight="1">
      <c r="A22" s="1"/>
      <c r="B22" s="66" t="s">
        <v>51</v>
      </c>
      <c r="C22" s="32" t="str">
        <f t="shared" si="3"/>
        <v>October</v>
      </c>
      <c r="D22" s="33" t="s">
        <v>6</v>
      </c>
      <c r="E22" s="33" t="s">
        <v>6</v>
      </c>
      <c r="F22" s="33" t="s">
        <v>25</v>
      </c>
      <c r="G22" s="33" t="s">
        <v>6</v>
      </c>
      <c r="H22" s="33" t="s">
        <v>6</v>
      </c>
      <c r="I22" s="33" t="s">
        <v>6</v>
      </c>
      <c r="J22" s="33" t="s">
        <v>6</v>
      </c>
      <c r="K22" s="33" t="s">
        <v>9</v>
      </c>
      <c r="L22" s="33" t="s">
        <v>10</v>
      </c>
      <c r="M22" s="33" t="s">
        <v>25</v>
      </c>
      <c r="N22" s="33" t="s">
        <v>6</v>
      </c>
      <c r="O22" s="33" t="s">
        <v>6</v>
      </c>
      <c r="P22" s="33" t="s">
        <v>6</v>
      </c>
      <c r="Q22" s="33" t="s">
        <v>6</v>
      </c>
      <c r="R22" s="33" t="s">
        <v>6</v>
      </c>
      <c r="S22" s="33" t="s">
        <v>6</v>
      </c>
      <c r="T22" s="33" t="s">
        <v>25</v>
      </c>
      <c r="U22" s="33" t="s">
        <v>6</v>
      </c>
      <c r="V22" s="33" t="s">
        <v>6</v>
      </c>
      <c r="W22" s="33" t="s">
        <v>6</v>
      </c>
      <c r="X22" s="33" t="s">
        <v>6</v>
      </c>
      <c r="Y22" s="33" t="s">
        <v>8</v>
      </c>
      <c r="Z22" s="33" t="s">
        <v>6</v>
      </c>
      <c r="AA22" s="33" t="s">
        <v>25</v>
      </c>
      <c r="AB22" s="33" t="s">
        <v>12</v>
      </c>
      <c r="AC22" s="33" t="s">
        <v>12</v>
      </c>
      <c r="AD22" s="33" t="s">
        <v>12</v>
      </c>
      <c r="AE22" s="33" t="s">
        <v>12</v>
      </c>
      <c r="AF22" s="33" t="s">
        <v>12</v>
      </c>
      <c r="AG22" s="33" t="s">
        <v>12</v>
      </c>
      <c r="AH22" s="33" t="s">
        <v>25</v>
      </c>
      <c r="AI22" s="33">
        <f t="shared" si="4"/>
        <v>17</v>
      </c>
      <c r="AJ22" s="33">
        <f t="shared" si="5"/>
        <v>0</v>
      </c>
      <c r="AK22" s="33">
        <f t="shared" si="6"/>
        <v>1</v>
      </c>
      <c r="AL22" s="33">
        <f t="shared" si="7"/>
        <v>1</v>
      </c>
      <c r="AM22" s="33">
        <f t="shared" si="8"/>
        <v>1</v>
      </c>
      <c r="AN22" s="33">
        <f t="shared" si="9"/>
        <v>0</v>
      </c>
      <c r="AO22" s="33">
        <f t="shared" si="10"/>
        <v>6</v>
      </c>
      <c r="AP22" s="33">
        <f t="shared" si="11"/>
        <v>0</v>
      </c>
      <c r="AQ22" s="33">
        <v>1.0</v>
      </c>
      <c r="AR22" s="33">
        <f t="shared" si="12"/>
        <v>0</v>
      </c>
      <c r="AS22" s="33">
        <v>2.0</v>
      </c>
      <c r="AT22" s="33">
        <f t="shared" si="13"/>
        <v>0</v>
      </c>
      <c r="AU22" s="33">
        <v>2.0</v>
      </c>
      <c r="AV22" s="34">
        <f t="shared" si="14"/>
        <v>26</v>
      </c>
      <c r="AW22" s="34">
        <f t="shared" si="15"/>
        <v>26</v>
      </c>
      <c r="AX22" s="59"/>
    </row>
    <row r="23" ht="15.75" customHeight="1">
      <c r="A23" s="1"/>
      <c r="B23" s="69" t="s">
        <v>53</v>
      </c>
      <c r="C23" s="35" t="str">
        <f t="shared" si="3"/>
        <v>October</v>
      </c>
      <c r="D23" s="36" t="s">
        <v>6</v>
      </c>
      <c r="E23" s="36" t="s">
        <v>6</v>
      </c>
      <c r="F23" s="36" t="s">
        <v>25</v>
      </c>
      <c r="G23" s="36" t="s">
        <v>6</v>
      </c>
      <c r="H23" s="36" t="s">
        <v>6</v>
      </c>
      <c r="I23" s="36" t="s">
        <v>6</v>
      </c>
      <c r="J23" s="36" t="s">
        <v>6</v>
      </c>
      <c r="K23" s="36" t="s">
        <v>9</v>
      </c>
      <c r="L23" s="36" t="s">
        <v>10</v>
      </c>
      <c r="M23" s="36" t="s">
        <v>25</v>
      </c>
      <c r="N23" s="36" t="s">
        <v>6</v>
      </c>
      <c r="O23" s="36" t="s">
        <v>6</v>
      </c>
      <c r="P23" s="36" t="s">
        <v>6</v>
      </c>
      <c r="Q23" s="36" t="s">
        <v>6</v>
      </c>
      <c r="R23" s="36" t="s">
        <v>6</v>
      </c>
      <c r="S23" s="36" t="s">
        <v>6</v>
      </c>
      <c r="T23" s="36" t="s">
        <v>25</v>
      </c>
      <c r="U23" s="36" t="s">
        <v>6</v>
      </c>
      <c r="V23" s="36" t="s">
        <v>6</v>
      </c>
      <c r="W23" s="36" t="s">
        <v>6</v>
      </c>
      <c r="X23" s="36" t="s">
        <v>6</v>
      </c>
      <c r="Y23" s="36" t="s">
        <v>6</v>
      </c>
      <c r="Z23" s="36" t="s">
        <v>6</v>
      </c>
      <c r="AA23" s="36" t="s">
        <v>25</v>
      </c>
      <c r="AB23" s="36" t="s">
        <v>6</v>
      </c>
      <c r="AC23" s="36" t="s">
        <v>6</v>
      </c>
      <c r="AD23" s="36" t="s">
        <v>6</v>
      </c>
      <c r="AE23" s="36" t="s">
        <v>6</v>
      </c>
      <c r="AF23" s="36" t="s">
        <v>6</v>
      </c>
      <c r="AG23" s="36" t="s">
        <v>6</v>
      </c>
      <c r="AH23" s="36" t="s">
        <v>25</v>
      </c>
      <c r="AI23" s="36">
        <f t="shared" si="4"/>
        <v>24</v>
      </c>
      <c r="AJ23" s="36">
        <f t="shared" si="5"/>
        <v>0</v>
      </c>
      <c r="AK23" s="36">
        <f t="shared" si="6"/>
        <v>0</v>
      </c>
      <c r="AL23" s="36">
        <f t="shared" si="7"/>
        <v>1</v>
      </c>
      <c r="AM23" s="36">
        <f t="shared" si="8"/>
        <v>1</v>
      </c>
      <c r="AN23" s="36">
        <f t="shared" si="9"/>
        <v>0</v>
      </c>
      <c r="AO23" s="36">
        <f t="shared" si="10"/>
        <v>0</v>
      </c>
      <c r="AP23" s="36">
        <f t="shared" si="11"/>
        <v>0</v>
      </c>
      <c r="AQ23" s="36">
        <v>1.0</v>
      </c>
      <c r="AR23" s="36">
        <f t="shared" si="12"/>
        <v>0</v>
      </c>
      <c r="AS23" s="36">
        <v>2.0</v>
      </c>
      <c r="AT23" s="36">
        <f t="shared" si="13"/>
        <v>0</v>
      </c>
      <c r="AU23" s="36">
        <v>2.0</v>
      </c>
      <c r="AV23" s="37">
        <f t="shared" si="14"/>
        <v>26</v>
      </c>
      <c r="AW23" s="37">
        <f t="shared" si="15"/>
        <v>26</v>
      </c>
      <c r="AX23" s="58"/>
    </row>
    <row r="24" ht="15.75" customHeight="1">
      <c r="A24" s="1"/>
      <c r="B24" s="66" t="s">
        <v>55</v>
      </c>
      <c r="C24" s="32" t="str">
        <f t="shared" si="3"/>
        <v>October</v>
      </c>
      <c r="D24" s="33" t="s">
        <v>6</v>
      </c>
      <c r="E24" s="33" t="s">
        <v>6</v>
      </c>
      <c r="F24" s="33" t="s">
        <v>25</v>
      </c>
      <c r="G24" s="33" t="s">
        <v>6</v>
      </c>
      <c r="H24" s="33" t="s">
        <v>6</v>
      </c>
      <c r="I24" s="33" t="s">
        <v>6</v>
      </c>
      <c r="J24" s="33" t="s">
        <v>6</v>
      </c>
      <c r="K24" s="33" t="s">
        <v>9</v>
      </c>
      <c r="L24" s="33" t="s">
        <v>10</v>
      </c>
      <c r="M24" s="33" t="s">
        <v>25</v>
      </c>
      <c r="N24" s="33" t="s">
        <v>6</v>
      </c>
      <c r="O24" s="33" t="s">
        <v>6</v>
      </c>
      <c r="P24" s="33" t="s">
        <v>6</v>
      </c>
      <c r="Q24" s="33" t="s">
        <v>6</v>
      </c>
      <c r="R24" s="33" t="s">
        <v>6</v>
      </c>
      <c r="S24" s="33" t="s">
        <v>6</v>
      </c>
      <c r="T24" s="33" t="s">
        <v>25</v>
      </c>
      <c r="U24" s="33" t="s">
        <v>6</v>
      </c>
      <c r="V24" s="33" t="s">
        <v>6</v>
      </c>
      <c r="W24" s="33" t="s">
        <v>6</v>
      </c>
      <c r="X24" s="33" t="s">
        <v>6</v>
      </c>
      <c r="Y24" s="33" t="s">
        <v>6</v>
      </c>
      <c r="Z24" s="33" t="s">
        <v>6</v>
      </c>
      <c r="AA24" s="33" t="s">
        <v>25</v>
      </c>
      <c r="AB24" s="33" t="s">
        <v>6</v>
      </c>
      <c r="AC24" s="33" t="s">
        <v>8</v>
      </c>
      <c r="AD24" s="33" t="s">
        <v>6</v>
      </c>
      <c r="AE24" s="33" t="s">
        <v>6</v>
      </c>
      <c r="AF24" s="33" t="s">
        <v>6</v>
      </c>
      <c r="AG24" s="33" t="s">
        <v>6</v>
      </c>
      <c r="AH24" s="33" t="s">
        <v>25</v>
      </c>
      <c r="AI24" s="33">
        <f t="shared" si="4"/>
        <v>23</v>
      </c>
      <c r="AJ24" s="33">
        <f t="shared" si="5"/>
        <v>0</v>
      </c>
      <c r="AK24" s="33">
        <f t="shared" si="6"/>
        <v>1</v>
      </c>
      <c r="AL24" s="33">
        <f t="shared" si="7"/>
        <v>1</v>
      </c>
      <c r="AM24" s="33">
        <f t="shared" si="8"/>
        <v>1</v>
      </c>
      <c r="AN24" s="33">
        <f t="shared" si="9"/>
        <v>0</v>
      </c>
      <c r="AO24" s="33">
        <f t="shared" si="10"/>
        <v>0</v>
      </c>
      <c r="AP24" s="33">
        <f t="shared" si="11"/>
        <v>0</v>
      </c>
      <c r="AQ24" s="33">
        <v>1.0</v>
      </c>
      <c r="AR24" s="33">
        <f t="shared" si="12"/>
        <v>0</v>
      </c>
      <c r="AS24" s="33">
        <v>2.0</v>
      </c>
      <c r="AT24" s="33">
        <f t="shared" si="13"/>
        <v>0</v>
      </c>
      <c r="AU24" s="33">
        <v>2.0</v>
      </c>
      <c r="AV24" s="34">
        <f t="shared" si="14"/>
        <v>26</v>
      </c>
      <c r="AW24" s="34">
        <f t="shared" si="15"/>
        <v>26</v>
      </c>
      <c r="AX24" s="59"/>
    </row>
    <row r="25" ht="15.75" customHeight="1">
      <c r="A25" s="1"/>
      <c r="B25" s="69" t="s">
        <v>57</v>
      </c>
      <c r="C25" s="35" t="str">
        <f t="shared" si="3"/>
        <v>October</v>
      </c>
      <c r="D25" s="36" t="s">
        <v>6</v>
      </c>
      <c r="E25" s="36" t="s">
        <v>6</v>
      </c>
      <c r="F25" s="36" t="s">
        <v>25</v>
      </c>
      <c r="G25" s="36" t="s">
        <v>6</v>
      </c>
      <c r="H25" s="36" t="s">
        <v>6</v>
      </c>
      <c r="I25" s="36" t="s">
        <v>6</v>
      </c>
      <c r="J25" s="36" t="s">
        <v>6</v>
      </c>
      <c r="K25" s="36" t="s">
        <v>9</v>
      </c>
      <c r="L25" s="36" t="s">
        <v>10</v>
      </c>
      <c r="M25" s="36" t="s">
        <v>25</v>
      </c>
      <c r="N25" s="36" t="s">
        <v>6</v>
      </c>
      <c r="O25" s="36" t="s">
        <v>6</v>
      </c>
      <c r="P25" s="36" t="s">
        <v>6</v>
      </c>
      <c r="Q25" s="36" t="s">
        <v>6</v>
      </c>
      <c r="R25" s="36" t="s">
        <v>6</v>
      </c>
      <c r="S25" s="36" t="s">
        <v>6</v>
      </c>
      <c r="T25" s="36" t="s">
        <v>25</v>
      </c>
      <c r="U25" s="36" t="s">
        <v>6</v>
      </c>
      <c r="V25" s="36" t="s">
        <v>6</v>
      </c>
      <c r="W25" s="36" t="s">
        <v>6</v>
      </c>
      <c r="X25" s="36" t="s">
        <v>6</v>
      </c>
      <c r="Y25" s="36" t="s">
        <v>6</v>
      </c>
      <c r="Z25" s="36" t="s">
        <v>6</v>
      </c>
      <c r="AA25" s="36" t="s">
        <v>25</v>
      </c>
      <c r="AB25" s="36" t="s">
        <v>6</v>
      </c>
      <c r="AC25" s="36" t="s">
        <v>6</v>
      </c>
      <c r="AD25" s="36" t="s">
        <v>6</v>
      </c>
      <c r="AE25" s="36" t="s">
        <v>6</v>
      </c>
      <c r="AF25" s="36" t="s">
        <v>6</v>
      </c>
      <c r="AG25" s="36" t="s">
        <v>6</v>
      </c>
      <c r="AH25" s="36" t="s">
        <v>25</v>
      </c>
      <c r="AI25" s="36">
        <f t="shared" si="4"/>
        <v>24</v>
      </c>
      <c r="AJ25" s="36">
        <f t="shared" si="5"/>
        <v>0</v>
      </c>
      <c r="AK25" s="36">
        <f t="shared" si="6"/>
        <v>0</v>
      </c>
      <c r="AL25" s="36">
        <f t="shared" si="7"/>
        <v>1</v>
      </c>
      <c r="AM25" s="36">
        <f t="shared" si="8"/>
        <v>1</v>
      </c>
      <c r="AN25" s="36">
        <f t="shared" si="9"/>
        <v>0</v>
      </c>
      <c r="AO25" s="36">
        <f t="shared" si="10"/>
        <v>0</v>
      </c>
      <c r="AP25" s="36">
        <f t="shared" si="11"/>
        <v>0</v>
      </c>
      <c r="AQ25" s="36">
        <v>1.0</v>
      </c>
      <c r="AR25" s="36">
        <f t="shared" si="12"/>
        <v>0</v>
      </c>
      <c r="AS25" s="36">
        <v>2.0</v>
      </c>
      <c r="AT25" s="36">
        <f t="shared" si="13"/>
        <v>0</v>
      </c>
      <c r="AU25" s="36">
        <v>2.0</v>
      </c>
      <c r="AV25" s="37">
        <f t="shared" si="14"/>
        <v>26</v>
      </c>
      <c r="AW25" s="37">
        <f t="shared" si="15"/>
        <v>26</v>
      </c>
      <c r="AX25" s="58"/>
    </row>
    <row r="26" ht="15.75" customHeight="1">
      <c r="A26" s="1"/>
      <c r="B26" s="66" t="s">
        <v>59</v>
      </c>
      <c r="C26" s="32" t="str">
        <f t="shared" si="3"/>
        <v>October</v>
      </c>
      <c r="D26" s="33" t="s">
        <v>6</v>
      </c>
      <c r="E26" s="33" t="s">
        <v>6</v>
      </c>
      <c r="F26" s="33" t="s">
        <v>25</v>
      </c>
      <c r="G26" s="33" t="s">
        <v>6</v>
      </c>
      <c r="H26" s="33" t="s">
        <v>6</v>
      </c>
      <c r="I26" s="33" t="s">
        <v>6</v>
      </c>
      <c r="J26" s="33" t="s">
        <v>6</v>
      </c>
      <c r="K26" s="33" t="s">
        <v>9</v>
      </c>
      <c r="L26" s="33" t="s">
        <v>10</v>
      </c>
      <c r="M26" s="33" t="s">
        <v>25</v>
      </c>
      <c r="N26" s="33" t="s">
        <v>6</v>
      </c>
      <c r="O26" s="33" t="s">
        <v>6</v>
      </c>
      <c r="P26" s="33" t="s">
        <v>6</v>
      </c>
      <c r="Q26" s="33" t="s">
        <v>6</v>
      </c>
      <c r="R26" s="33" t="s">
        <v>6</v>
      </c>
      <c r="S26" s="33" t="s">
        <v>6</v>
      </c>
      <c r="T26" s="33" t="s">
        <v>25</v>
      </c>
      <c r="U26" s="33" t="s">
        <v>6</v>
      </c>
      <c r="V26" s="33" t="s">
        <v>6</v>
      </c>
      <c r="W26" s="33" t="s">
        <v>6</v>
      </c>
      <c r="X26" s="33" t="s">
        <v>6</v>
      </c>
      <c r="Y26" s="33" t="s">
        <v>6</v>
      </c>
      <c r="Z26" s="33" t="s">
        <v>6</v>
      </c>
      <c r="AA26" s="33" t="s">
        <v>25</v>
      </c>
      <c r="AB26" s="33" t="s">
        <v>6</v>
      </c>
      <c r="AC26" s="33" t="s">
        <v>6</v>
      </c>
      <c r="AD26" s="33" t="s">
        <v>6</v>
      </c>
      <c r="AE26" s="33" t="s">
        <v>6</v>
      </c>
      <c r="AF26" s="33" t="s">
        <v>6</v>
      </c>
      <c r="AG26" s="33" t="s">
        <v>6</v>
      </c>
      <c r="AH26" s="33" t="s">
        <v>25</v>
      </c>
      <c r="AI26" s="33">
        <f t="shared" si="4"/>
        <v>24</v>
      </c>
      <c r="AJ26" s="33">
        <f t="shared" si="5"/>
        <v>0</v>
      </c>
      <c r="AK26" s="33">
        <f t="shared" si="6"/>
        <v>0</v>
      </c>
      <c r="AL26" s="33">
        <f t="shared" si="7"/>
        <v>1</v>
      </c>
      <c r="AM26" s="33">
        <f t="shared" si="8"/>
        <v>1</v>
      </c>
      <c r="AN26" s="33">
        <f t="shared" si="9"/>
        <v>0</v>
      </c>
      <c r="AO26" s="33">
        <f t="shared" si="10"/>
        <v>0</v>
      </c>
      <c r="AP26" s="33">
        <f t="shared" si="11"/>
        <v>0</v>
      </c>
      <c r="AQ26" s="33">
        <v>1.0</v>
      </c>
      <c r="AR26" s="33">
        <f t="shared" si="12"/>
        <v>0</v>
      </c>
      <c r="AS26" s="33">
        <v>2.0</v>
      </c>
      <c r="AT26" s="33">
        <f t="shared" si="13"/>
        <v>0</v>
      </c>
      <c r="AU26" s="33">
        <v>2.0</v>
      </c>
      <c r="AV26" s="34">
        <f t="shared" si="14"/>
        <v>26</v>
      </c>
      <c r="AW26" s="34">
        <f t="shared" si="15"/>
        <v>26</v>
      </c>
      <c r="AX26" s="59"/>
    </row>
    <row r="27" ht="15.75" customHeight="1">
      <c r="A27" s="1"/>
      <c r="B27" s="69" t="s">
        <v>61</v>
      </c>
      <c r="C27" s="35" t="str">
        <f t="shared" si="3"/>
        <v>October</v>
      </c>
      <c r="D27" s="36" t="s">
        <v>6</v>
      </c>
      <c r="E27" s="36" t="s">
        <v>6</v>
      </c>
      <c r="F27" s="36" t="s">
        <v>25</v>
      </c>
      <c r="G27" s="36" t="s">
        <v>6</v>
      </c>
      <c r="H27" s="36" t="s">
        <v>6</v>
      </c>
      <c r="I27" s="36" t="s">
        <v>6</v>
      </c>
      <c r="J27" s="36" t="s">
        <v>6</v>
      </c>
      <c r="K27" s="36" t="s">
        <v>9</v>
      </c>
      <c r="L27" s="36" t="s">
        <v>10</v>
      </c>
      <c r="M27" s="36" t="s">
        <v>25</v>
      </c>
      <c r="N27" s="36" t="s">
        <v>6</v>
      </c>
      <c r="O27" s="36" t="s">
        <v>6</v>
      </c>
      <c r="P27" s="36" t="s">
        <v>6</v>
      </c>
      <c r="Q27" s="36" t="s">
        <v>6</v>
      </c>
      <c r="R27" s="36" t="s">
        <v>6</v>
      </c>
      <c r="S27" s="36" t="s">
        <v>6</v>
      </c>
      <c r="T27" s="36" t="s">
        <v>25</v>
      </c>
      <c r="U27" s="36" t="s">
        <v>6</v>
      </c>
      <c r="V27" s="36" t="s">
        <v>6</v>
      </c>
      <c r="W27" s="36" t="s">
        <v>6</v>
      </c>
      <c r="X27" s="36" t="s">
        <v>6</v>
      </c>
      <c r="Y27" s="36" t="s">
        <v>6</v>
      </c>
      <c r="Z27" s="36" t="s">
        <v>6</v>
      </c>
      <c r="AA27" s="36" t="s">
        <v>25</v>
      </c>
      <c r="AB27" s="36" t="s">
        <v>6</v>
      </c>
      <c r="AC27" s="36" t="s">
        <v>6</v>
      </c>
      <c r="AD27" s="36" t="s">
        <v>6</v>
      </c>
      <c r="AE27" s="36" t="s">
        <v>6</v>
      </c>
      <c r="AF27" s="36" t="s">
        <v>6</v>
      </c>
      <c r="AG27" s="36" t="s">
        <v>6</v>
      </c>
      <c r="AH27" s="36" t="s">
        <v>25</v>
      </c>
      <c r="AI27" s="36">
        <f t="shared" si="4"/>
        <v>24</v>
      </c>
      <c r="AJ27" s="36">
        <f t="shared" si="5"/>
        <v>0</v>
      </c>
      <c r="AK27" s="36">
        <f t="shared" si="6"/>
        <v>0</v>
      </c>
      <c r="AL27" s="36">
        <f t="shared" si="7"/>
        <v>1</v>
      </c>
      <c r="AM27" s="36">
        <f t="shared" si="8"/>
        <v>1</v>
      </c>
      <c r="AN27" s="36">
        <f t="shared" si="9"/>
        <v>0</v>
      </c>
      <c r="AO27" s="36">
        <f t="shared" si="10"/>
        <v>0</v>
      </c>
      <c r="AP27" s="36">
        <f t="shared" si="11"/>
        <v>0</v>
      </c>
      <c r="AQ27" s="36">
        <v>1.0</v>
      </c>
      <c r="AR27" s="36">
        <f t="shared" si="12"/>
        <v>0</v>
      </c>
      <c r="AS27" s="36">
        <v>2.0</v>
      </c>
      <c r="AT27" s="36">
        <f t="shared" si="13"/>
        <v>0</v>
      </c>
      <c r="AU27" s="36">
        <v>2.0</v>
      </c>
      <c r="AV27" s="37">
        <f t="shared" si="14"/>
        <v>26</v>
      </c>
      <c r="AW27" s="37">
        <f t="shared" si="15"/>
        <v>26</v>
      </c>
      <c r="AX27" s="58"/>
    </row>
    <row r="28" ht="15.75" customHeight="1">
      <c r="A28" s="1"/>
      <c r="B28" s="66" t="s">
        <v>63</v>
      </c>
      <c r="C28" s="32" t="str">
        <f t="shared" si="3"/>
        <v>October</v>
      </c>
      <c r="D28" s="33" t="s">
        <v>6</v>
      </c>
      <c r="E28" s="33" t="s">
        <v>6</v>
      </c>
      <c r="F28" s="33" t="s">
        <v>25</v>
      </c>
      <c r="G28" s="33" t="s">
        <v>6</v>
      </c>
      <c r="H28" s="33" t="s">
        <v>6</v>
      </c>
      <c r="I28" s="33" t="s">
        <v>6</v>
      </c>
      <c r="J28" s="33" t="s">
        <v>6</v>
      </c>
      <c r="K28" s="33" t="s">
        <v>9</v>
      </c>
      <c r="L28" s="33" t="s">
        <v>10</v>
      </c>
      <c r="M28" s="33" t="s">
        <v>25</v>
      </c>
      <c r="N28" s="33" t="s">
        <v>6</v>
      </c>
      <c r="O28" s="33" t="s">
        <v>6</v>
      </c>
      <c r="P28" s="33" t="s">
        <v>6</v>
      </c>
      <c r="Q28" s="33" t="s">
        <v>6</v>
      </c>
      <c r="R28" s="33" t="s">
        <v>6</v>
      </c>
      <c r="S28" s="33" t="s">
        <v>6</v>
      </c>
      <c r="T28" s="33" t="s">
        <v>25</v>
      </c>
      <c r="U28" s="33" t="s">
        <v>6</v>
      </c>
      <c r="V28" s="33" t="s">
        <v>6</v>
      </c>
      <c r="W28" s="33" t="s">
        <v>6</v>
      </c>
      <c r="X28" s="33" t="s">
        <v>6</v>
      </c>
      <c r="Y28" s="33" t="s">
        <v>6</v>
      </c>
      <c r="Z28" s="33" t="s">
        <v>6</v>
      </c>
      <c r="AA28" s="33" t="s">
        <v>25</v>
      </c>
      <c r="AB28" s="33" t="s">
        <v>6</v>
      </c>
      <c r="AC28" s="33" t="s">
        <v>8</v>
      </c>
      <c r="AD28" s="33" t="s">
        <v>6</v>
      </c>
      <c r="AE28" s="33" t="s">
        <v>6</v>
      </c>
      <c r="AF28" s="33" t="s">
        <v>6</v>
      </c>
      <c r="AG28" s="33" t="s">
        <v>6</v>
      </c>
      <c r="AH28" s="33" t="s">
        <v>25</v>
      </c>
      <c r="AI28" s="33">
        <f t="shared" si="4"/>
        <v>23</v>
      </c>
      <c r="AJ28" s="33">
        <f t="shared" si="5"/>
        <v>0</v>
      </c>
      <c r="AK28" s="33">
        <f t="shared" si="6"/>
        <v>1</v>
      </c>
      <c r="AL28" s="33">
        <f t="shared" si="7"/>
        <v>1</v>
      </c>
      <c r="AM28" s="33">
        <f t="shared" si="8"/>
        <v>1</v>
      </c>
      <c r="AN28" s="33">
        <f t="shared" si="9"/>
        <v>0</v>
      </c>
      <c r="AO28" s="33">
        <f t="shared" si="10"/>
        <v>0</v>
      </c>
      <c r="AP28" s="33">
        <f t="shared" si="11"/>
        <v>0</v>
      </c>
      <c r="AQ28" s="33">
        <v>1.0</v>
      </c>
      <c r="AR28" s="33">
        <f t="shared" si="12"/>
        <v>0</v>
      </c>
      <c r="AS28" s="33">
        <v>2.0</v>
      </c>
      <c r="AT28" s="33">
        <f t="shared" si="13"/>
        <v>0</v>
      </c>
      <c r="AU28" s="33">
        <v>2.0</v>
      </c>
      <c r="AV28" s="34">
        <f t="shared" si="14"/>
        <v>26</v>
      </c>
      <c r="AW28" s="34">
        <f t="shared" si="15"/>
        <v>26</v>
      </c>
      <c r="AX28" s="59"/>
    </row>
    <row r="29" ht="15.75" customHeight="1">
      <c r="A29" s="1"/>
      <c r="B29" s="69" t="s">
        <v>65</v>
      </c>
      <c r="C29" s="35" t="str">
        <f t="shared" si="3"/>
        <v>October</v>
      </c>
      <c r="D29" s="36" t="s">
        <v>6</v>
      </c>
      <c r="E29" s="36" t="s">
        <v>6</v>
      </c>
      <c r="F29" s="36" t="s">
        <v>25</v>
      </c>
      <c r="G29" s="36" t="s">
        <v>6</v>
      </c>
      <c r="H29" s="36" t="s">
        <v>6</v>
      </c>
      <c r="I29" s="36" t="s">
        <v>6</v>
      </c>
      <c r="J29" s="36" t="s">
        <v>6</v>
      </c>
      <c r="K29" s="36" t="s">
        <v>9</v>
      </c>
      <c r="L29" s="36" t="s">
        <v>10</v>
      </c>
      <c r="M29" s="36" t="s">
        <v>25</v>
      </c>
      <c r="N29" s="36" t="s">
        <v>6</v>
      </c>
      <c r="O29" s="36" t="s">
        <v>6</v>
      </c>
      <c r="P29" s="36" t="s">
        <v>6</v>
      </c>
      <c r="Q29" s="36" t="s">
        <v>6</v>
      </c>
      <c r="R29" s="36" t="s">
        <v>6</v>
      </c>
      <c r="S29" s="36" t="s">
        <v>6</v>
      </c>
      <c r="T29" s="36" t="s">
        <v>25</v>
      </c>
      <c r="U29" s="36" t="s">
        <v>6</v>
      </c>
      <c r="V29" s="36" t="s">
        <v>6</v>
      </c>
      <c r="W29" s="36" t="s">
        <v>6</v>
      </c>
      <c r="X29" s="36" t="s">
        <v>6</v>
      </c>
      <c r="Y29" s="36" t="s">
        <v>6</v>
      </c>
      <c r="Z29" s="36" t="s">
        <v>6</v>
      </c>
      <c r="AA29" s="36" t="s">
        <v>25</v>
      </c>
      <c r="AB29" s="36" t="s">
        <v>6</v>
      </c>
      <c r="AC29" s="36" t="s">
        <v>6</v>
      </c>
      <c r="AD29" s="36" t="s">
        <v>6</v>
      </c>
      <c r="AE29" s="36" t="s">
        <v>6</v>
      </c>
      <c r="AF29" s="36" t="s">
        <v>6</v>
      </c>
      <c r="AG29" s="36" t="s">
        <v>6</v>
      </c>
      <c r="AH29" s="36" t="s">
        <v>25</v>
      </c>
      <c r="AI29" s="36">
        <f t="shared" si="4"/>
        <v>24</v>
      </c>
      <c r="AJ29" s="36">
        <f t="shared" si="5"/>
        <v>0</v>
      </c>
      <c r="AK29" s="36">
        <f t="shared" si="6"/>
        <v>0</v>
      </c>
      <c r="AL29" s="36">
        <f t="shared" si="7"/>
        <v>1</v>
      </c>
      <c r="AM29" s="36">
        <f t="shared" si="8"/>
        <v>1</v>
      </c>
      <c r="AN29" s="36">
        <f t="shared" si="9"/>
        <v>0</v>
      </c>
      <c r="AO29" s="36">
        <f t="shared" si="10"/>
        <v>0</v>
      </c>
      <c r="AP29" s="36">
        <f t="shared" si="11"/>
        <v>0</v>
      </c>
      <c r="AQ29" s="36">
        <v>1.0</v>
      </c>
      <c r="AR29" s="36">
        <f t="shared" si="12"/>
        <v>0</v>
      </c>
      <c r="AS29" s="36">
        <v>2.0</v>
      </c>
      <c r="AT29" s="36">
        <f t="shared" si="13"/>
        <v>0</v>
      </c>
      <c r="AU29" s="36">
        <v>2.0</v>
      </c>
      <c r="AV29" s="37">
        <f t="shared" si="14"/>
        <v>26</v>
      </c>
      <c r="AW29" s="37">
        <f t="shared" si="15"/>
        <v>26</v>
      </c>
      <c r="AX29" s="58"/>
    </row>
    <row r="30" ht="15.75" customHeight="1">
      <c r="A30" s="1"/>
      <c r="B30" s="66" t="s">
        <v>67</v>
      </c>
      <c r="C30" s="32" t="str">
        <f t="shared" si="3"/>
        <v>October</v>
      </c>
      <c r="D30" s="33" t="s">
        <v>6</v>
      </c>
      <c r="E30" s="33" t="s">
        <v>6</v>
      </c>
      <c r="F30" s="33" t="s">
        <v>25</v>
      </c>
      <c r="G30" s="33" t="s">
        <v>6</v>
      </c>
      <c r="H30" s="33" t="s">
        <v>6</v>
      </c>
      <c r="I30" s="33" t="s">
        <v>6</v>
      </c>
      <c r="J30" s="33" t="s">
        <v>6</v>
      </c>
      <c r="K30" s="33" t="s">
        <v>9</v>
      </c>
      <c r="L30" s="33" t="s">
        <v>10</v>
      </c>
      <c r="M30" s="33" t="s">
        <v>25</v>
      </c>
      <c r="N30" s="33" t="s">
        <v>6</v>
      </c>
      <c r="O30" s="33" t="s">
        <v>6</v>
      </c>
      <c r="P30" s="33" t="s">
        <v>6</v>
      </c>
      <c r="Q30" s="33" t="s">
        <v>6</v>
      </c>
      <c r="R30" s="33" t="s">
        <v>6</v>
      </c>
      <c r="S30" s="33" t="s">
        <v>6</v>
      </c>
      <c r="T30" s="33" t="s">
        <v>25</v>
      </c>
      <c r="U30" s="33" t="s">
        <v>6</v>
      </c>
      <c r="V30" s="33" t="s">
        <v>6</v>
      </c>
      <c r="W30" s="33" t="s">
        <v>6</v>
      </c>
      <c r="X30" s="33" t="s">
        <v>6</v>
      </c>
      <c r="Y30" s="33" t="s">
        <v>6</v>
      </c>
      <c r="Z30" s="33" t="s">
        <v>6</v>
      </c>
      <c r="AA30" s="33" t="s">
        <v>25</v>
      </c>
      <c r="AB30" s="33" t="s">
        <v>6</v>
      </c>
      <c r="AC30" s="33" t="s">
        <v>6</v>
      </c>
      <c r="AD30" s="33" t="s">
        <v>6</v>
      </c>
      <c r="AE30" s="33" t="s">
        <v>6</v>
      </c>
      <c r="AF30" s="33" t="s">
        <v>6</v>
      </c>
      <c r="AG30" s="33" t="s">
        <v>6</v>
      </c>
      <c r="AH30" s="33" t="s">
        <v>25</v>
      </c>
      <c r="AI30" s="33">
        <f t="shared" si="4"/>
        <v>24</v>
      </c>
      <c r="AJ30" s="33">
        <f t="shared" si="5"/>
        <v>0</v>
      </c>
      <c r="AK30" s="33">
        <f t="shared" si="6"/>
        <v>0</v>
      </c>
      <c r="AL30" s="33">
        <f t="shared" si="7"/>
        <v>1</v>
      </c>
      <c r="AM30" s="33">
        <f t="shared" si="8"/>
        <v>1</v>
      </c>
      <c r="AN30" s="33">
        <f t="shared" si="9"/>
        <v>0</v>
      </c>
      <c r="AO30" s="33">
        <f t="shared" si="10"/>
        <v>0</v>
      </c>
      <c r="AP30" s="33">
        <f t="shared" si="11"/>
        <v>0</v>
      </c>
      <c r="AQ30" s="33">
        <v>1.0</v>
      </c>
      <c r="AR30" s="33">
        <f t="shared" si="12"/>
        <v>0</v>
      </c>
      <c r="AS30" s="33">
        <v>2.0</v>
      </c>
      <c r="AT30" s="33">
        <f t="shared" si="13"/>
        <v>0</v>
      </c>
      <c r="AU30" s="33">
        <v>2.0</v>
      </c>
      <c r="AV30" s="34">
        <f t="shared" si="14"/>
        <v>26</v>
      </c>
      <c r="AW30" s="34">
        <f t="shared" si="15"/>
        <v>26</v>
      </c>
      <c r="AX30" s="59"/>
    </row>
    <row r="31" ht="15.75" customHeight="1">
      <c r="A31" s="1"/>
      <c r="B31" s="69" t="s">
        <v>69</v>
      </c>
      <c r="C31" s="35" t="str">
        <f t="shared" si="3"/>
        <v>October</v>
      </c>
      <c r="D31" s="36" t="s">
        <v>6</v>
      </c>
      <c r="E31" s="36" t="s">
        <v>6</v>
      </c>
      <c r="F31" s="36" t="s">
        <v>25</v>
      </c>
      <c r="G31" s="36" t="s">
        <v>6</v>
      </c>
      <c r="H31" s="36" t="s">
        <v>6</v>
      </c>
      <c r="I31" s="36" t="s">
        <v>6</v>
      </c>
      <c r="J31" s="36" t="s">
        <v>6</v>
      </c>
      <c r="K31" s="36" t="s">
        <v>9</v>
      </c>
      <c r="L31" s="36" t="s">
        <v>10</v>
      </c>
      <c r="M31" s="36" t="s">
        <v>25</v>
      </c>
      <c r="N31" s="36" t="s">
        <v>6</v>
      </c>
      <c r="O31" s="36" t="s">
        <v>6</v>
      </c>
      <c r="P31" s="36" t="s">
        <v>6</v>
      </c>
      <c r="Q31" s="36" t="s">
        <v>6</v>
      </c>
      <c r="R31" s="36" t="s">
        <v>6</v>
      </c>
      <c r="S31" s="36" t="s">
        <v>6</v>
      </c>
      <c r="T31" s="36" t="s">
        <v>25</v>
      </c>
      <c r="U31" s="36" t="s">
        <v>6</v>
      </c>
      <c r="V31" s="36" t="s">
        <v>6</v>
      </c>
      <c r="W31" s="36" t="s">
        <v>6</v>
      </c>
      <c r="X31" s="36" t="s">
        <v>6</v>
      </c>
      <c r="Y31" s="36" t="s">
        <v>6</v>
      </c>
      <c r="Z31" s="36" t="s">
        <v>6</v>
      </c>
      <c r="AA31" s="36" t="s">
        <v>25</v>
      </c>
      <c r="AB31" s="36" t="s">
        <v>6</v>
      </c>
      <c r="AC31" s="36" t="s">
        <v>6</v>
      </c>
      <c r="AD31" s="36" t="s">
        <v>6</v>
      </c>
      <c r="AE31" s="36" t="s">
        <v>6</v>
      </c>
      <c r="AF31" s="36" t="s">
        <v>6</v>
      </c>
      <c r="AG31" s="36" t="s">
        <v>6</v>
      </c>
      <c r="AH31" s="36" t="s">
        <v>25</v>
      </c>
      <c r="AI31" s="36">
        <f t="shared" si="4"/>
        <v>24</v>
      </c>
      <c r="AJ31" s="36">
        <f t="shared" si="5"/>
        <v>0</v>
      </c>
      <c r="AK31" s="36">
        <f t="shared" si="6"/>
        <v>0</v>
      </c>
      <c r="AL31" s="36">
        <f t="shared" si="7"/>
        <v>1</v>
      </c>
      <c r="AM31" s="36">
        <f t="shared" si="8"/>
        <v>1</v>
      </c>
      <c r="AN31" s="36">
        <f t="shared" si="9"/>
        <v>0</v>
      </c>
      <c r="AO31" s="36">
        <f t="shared" si="10"/>
        <v>0</v>
      </c>
      <c r="AP31" s="36">
        <f t="shared" si="11"/>
        <v>0</v>
      </c>
      <c r="AQ31" s="36">
        <v>1.0</v>
      </c>
      <c r="AR31" s="36">
        <f t="shared" si="12"/>
        <v>0</v>
      </c>
      <c r="AS31" s="36">
        <v>2.0</v>
      </c>
      <c r="AT31" s="36">
        <f t="shared" si="13"/>
        <v>0</v>
      </c>
      <c r="AU31" s="36">
        <v>2.0</v>
      </c>
      <c r="AV31" s="37">
        <f t="shared" si="14"/>
        <v>26</v>
      </c>
      <c r="AW31" s="37">
        <f t="shared" si="15"/>
        <v>26</v>
      </c>
      <c r="AX31" s="58"/>
    </row>
    <row r="32" ht="15.75" customHeight="1">
      <c r="A32" s="1"/>
      <c r="B32" s="66" t="s">
        <v>71</v>
      </c>
      <c r="C32" s="32" t="str">
        <f t="shared" si="3"/>
        <v>October</v>
      </c>
      <c r="D32" s="33" t="s">
        <v>6</v>
      </c>
      <c r="E32" s="33" t="s">
        <v>6</v>
      </c>
      <c r="F32" s="33" t="s">
        <v>25</v>
      </c>
      <c r="G32" s="33" t="s">
        <v>6</v>
      </c>
      <c r="H32" s="33" t="s">
        <v>6</v>
      </c>
      <c r="I32" s="33" t="s">
        <v>6</v>
      </c>
      <c r="J32" s="33" t="s">
        <v>6</v>
      </c>
      <c r="K32" s="33" t="s">
        <v>9</v>
      </c>
      <c r="L32" s="33" t="s">
        <v>10</v>
      </c>
      <c r="M32" s="33" t="s">
        <v>25</v>
      </c>
      <c r="N32" s="33" t="s">
        <v>6</v>
      </c>
      <c r="O32" s="33" t="s">
        <v>6</v>
      </c>
      <c r="P32" s="33" t="s">
        <v>6</v>
      </c>
      <c r="Q32" s="33" t="s">
        <v>6</v>
      </c>
      <c r="R32" s="33" t="s">
        <v>6</v>
      </c>
      <c r="S32" s="33" t="s">
        <v>6</v>
      </c>
      <c r="T32" s="33" t="s">
        <v>25</v>
      </c>
      <c r="U32" s="33" t="s">
        <v>6</v>
      </c>
      <c r="V32" s="33" t="s">
        <v>6</v>
      </c>
      <c r="W32" s="33" t="s">
        <v>6</v>
      </c>
      <c r="X32" s="33" t="s">
        <v>6</v>
      </c>
      <c r="Y32" s="33" t="s">
        <v>6</v>
      </c>
      <c r="Z32" s="33" t="s">
        <v>6</v>
      </c>
      <c r="AA32" s="33" t="s">
        <v>25</v>
      </c>
      <c r="AB32" s="33" t="s">
        <v>6</v>
      </c>
      <c r="AC32" s="33" t="s">
        <v>6</v>
      </c>
      <c r="AD32" s="33" t="s">
        <v>6</v>
      </c>
      <c r="AE32" s="33" t="s">
        <v>6</v>
      </c>
      <c r="AF32" s="33" t="s">
        <v>6</v>
      </c>
      <c r="AG32" s="33" t="s">
        <v>6</v>
      </c>
      <c r="AH32" s="33" t="s">
        <v>25</v>
      </c>
      <c r="AI32" s="33">
        <f t="shared" si="4"/>
        <v>24</v>
      </c>
      <c r="AJ32" s="33">
        <f t="shared" si="5"/>
        <v>0</v>
      </c>
      <c r="AK32" s="33">
        <f t="shared" si="6"/>
        <v>0</v>
      </c>
      <c r="AL32" s="33">
        <f t="shared" si="7"/>
        <v>1</v>
      </c>
      <c r="AM32" s="33">
        <f t="shared" si="8"/>
        <v>1</v>
      </c>
      <c r="AN32" s="33">
        <f t="shared" si="9"/>
        <v>0</v>
      </c>
      <c r="AO32" s="33">
        <f t="shared" si="10"/>
        <v>0</v>
      </c>
      <c r="AP32" s="33">
        <f t="shared" si="11"/>
        <v>0</v>
      </c>
      <c r="AQ32" s="33">
        <v>1.0</v>
      </c>
      <c r="AR32" s="33">
        <f t="shared" si="12"/>
        <v>0</v>
      </c>
      <c r="AS32" s="33">
        <v>2.0</v>
      </c>
      <c r="AT32" s="33">
        <f t="shared" si="13"/>
        <v>0</v>
      </c>
      <c r="AU32" s="33">
        <v>2.0</v>
      </c>
      <c r="AV32" s="34">
        <f t="shared" si="14"/>
        <v>26</v>
      </c>
      <c r="AW32" s="34">
        <f t="shared" si="15"/>
        <v>26</v>
      </c>
      <c r="AX32" s="59"/>
    </row>
    <row r="33" ht="15.75" customHeight="1">
      <c r="A33" s="1"/>
      <c r="B33" s="69" t="s">
        <v>73</v>
      </c>
      <c r="C33" s="35" t="str">
        <f t="shared" si="3"/>
        <v>October</v>
      </c>
      <c r="D33" s="36" t="s">
        <v>6</v>
      </c>
      <c r="E33" s="36" t="s">
        <v>6</v>
      </c>
      <c r="F33" s="36" t="s">
        <v>25</v>
      </c>
      <c r="G33" s="36" t="s">
        <v>6</v>
      </c>
      <c r="H33" s="36" t="s">
        <v>6</v>
      </c>
      <c r="I33" s="36" t="s">
        <v>6</v>
      </c>
      <c r="J33" s="36" t="s">
        <v>6</v>
      </c>
      <c r="K33" s="36" t="s">
        <v>9</v>
      </c>
      <c r="L33" s="36" t="s">
        <v>10</v>
      </c>
      <c r="M33" s="36" t="s">
        <v>25</v>
      </c>
      <c r="N33" s="36" t="s">
        <v>6</v>
      </c>
      <c r="O33" s="36" t="s">
        <v>6</v>
      </c>
      <c r="P33" s="36" t="s">
        <v>6</v>
      </c>
      <c r="Q33" s="36" t="s">
        <v>6</v>
      </c>
      <c r="R33" s="36" t="s">
        <v>6</v>
      </c>
      <c r="S33" s="36" t="s">
        <v>6</v>
      </c>
      <c r="T33" s="36" t="s">
        <v>25</v>
      </c>
      <c r="U33" s="36" t="s">
        <v>6</v>
      </c>
      <c r="V33" s="36" t="s">
        <v>6</v>
      </c>
      <c r="W33" s="36" t="s">
        <v>6</v>
      </c>
      <c r="X33" s="36" t="s">
        <v>6</v>
      </c>
      <c r="Y33" s="36" t="s">
        <v>6</v>
      </c>
      <c r="Z33" s="36" t="s">
        <v>6</v>
      </c>
      <c r="AA33" s="36" t="s">
        <v>25</v>
      </c>
      <c r="AB33" s="36" t="s">
        <v>6</v>
      </c>
      <c r="AC33" s="36" t="s">
        <v>8</v>
      </c>
      <c r="AD33" s="36" t="s">
        <v>6</v>
      </c>
      <c r="AE33" s="36" t="s">
        <v>6</v>
      </c>
      <c r="AF33" s="36" t="s">
        <v>6</v>
      </c>
      <c r="AG33" s="36" t="s">
        <v>6</v>
      </c>
      <c r="AH33" s="36" t="s">
        <v>25</v>
      </c>
      <c r="AI33" s="36">
        <f t="shared" si="4"/>
        <v>23</v>
      </c>
      <c r="AJ33" s="36">
        <f t="shared" si="5"/>
        <v>0</v>
      </c>
      <c r="AK33" s="36">
        <f t="shared" si="6"/>
        <v>1</v>
      </c>
      <c r="AL33" s="36">
        <f t="shared" si="7"/>
        <v>1</v>
      </c>
      <c r="AM33" s="36">
        <f t="shared" si="8"/>
        <v>1</v>
      </c>
      <c r="AN33" s="36">
        <f t="shared" si="9"/>
        <v>0</v>
      </c>
      <c r="AO33" s="36">
        <f t="shared" si="10"/>
        <v>0</v>
      </c>
      <c r="AP33" s="36">
        <f t="shared" si="11"/>
        <v>0</v>
      </c>
      <c r="AQ33" s="36">
        <v>1.0</v>
      </c>
      <c r="AR33" s="36">
        <f t="shared" si="12"/>
        <v>0</v>
      </c>
      <c r="AS33" s="36">
        <v>2.0</v>
      </c>
      <c r="AT33" s="36">
        <f t="shared" si="13"/>
        <v>0</v>
      </c>
      <c r="AU33" s="36">
        <v>2.0</v>
      </c>
      <c r="AV33" s="37">
        <f t="shared" si="14"/>
        <v>26</v>
      </c>
      <c r="AW33" s="37">
        <f t="shared" si="15"/>
        <v>26</v>
      </c>
      <c r="AX33" s="58"/>
    </row>
    <row r="34" ht="15.75" customHeight="1">
      <c r="A34" s="1"/>
      <c r="B34" s="66" t="s">
        <v>75</v>
      </c>
      <c r="C34" s="32" t="str">
        <f t="shared" si="3"/>
        <v>October</v>
      </c>
      <c r="D34" s="33" t="s">
        <v>6</v>
      </c>
      <c r="E34" s="33" t="s">
        <v>6</v>
      </c>
      <c r="F34" s="33" t="s">
        <v>25</v>
      </c>
      <c r="G34" s="33" t="s">
        <v>6</v>
      </c>
      <c r="H34" s="33" t="s">
        <v>6</v>
      </c>
      <c r="I34" s="33" t="s">
        <v>6</v>
      </c>
      <c r="J34" s="33" t="s">
        <v>6</v>
      </c>
      <c r="K34" s="33" t="s">
        <v>9</v>
      </c>
      <c r="L34" s="33" t="s">
        <v>10</v>
      </c>
      <c r="M34" s="33" t="s">
        <v>25</v>
      </c>
      <c r="N34" s="33" t="s">
        <v>6</v>
      </c>
      <c r="O34" s="33" t="s">
        <v>6</v>
      </c>
      <c r="P34" s="33" t="s">
        <v>6</v>
      </c>
      <c r="Q34" s="33" t="s">
        <v>6</v>
      </c>
      <c r="R34" s="33" t="s">
        <v>6</v>
      </c>
      <c r="S34" s="33" t="s">
        <v>6</v>
      </c>
      <c r="T34" s="33" t="s">
        <v>25</v>
      </c>
      <c r="U34" s="33" t="s">
        <v>6</v>
      </c>
      <c r="V34" s="33" t="s">
        <v>6</v>
      </c>
      <c r="W34" s="33" t="s">
        <v>6</v>
      </c>
      <c r="X34" s="33" t="s">
        <v>6</v>
      </c>
      <c r="Y34" s="33" t="s">
        <v>6</v>
      </c>
      <c r="Z34" s="33" t="s">
        <v>6</v>
      </c>
      <c r="AA34" s="33" t="s">
        <v>25</v>
      </c>
      <c r="AB34" s="33" t="s">
        <v>6</v>
      </c>
      <c r="AC34" s="33" t="s">
        <v>6</v>
      </c>
      <c r="AD34" s="33" t="s">
        <v>6</v>
      </c>
      <c r="AE34" s="33" t="s">
        <v>6</v>
      </c>
      <c r="AF34" s="33" t="s">
        <v>6</v>
      </c>
      <c r="AG34" s="33" t="s">
        <v>6</v>
      </c>
      <c r="AH34" s="33" t="s">
        <v>25</v>
      </c>
      <c r="AI34" s="33">
        <f t="shared" si="4"/>
        <v>24</v>
      </c>
      <c r="AJ34" s="33">
        <f t="shared" si="5"/>
        <v>0</v>
      </c>
      <c r="AK34" s="33">
        <f t="shared" si="6"/>
        <v>0</v>
      </c>
      <c r="AL34" s="33">
        <f t="shared" si="7"/>
        <v>1</v>
      </c>
      <c r="AM34" s="33">
        <f t="shared" si="8"/>
        <v>1</v>
      </c>
      <c r="AN34" s="33">
        <f t="shared" si="9"/>
        <v>0</v>
      </c>
      <c r="AO34" s="33">
        <f t="shared" si="10"/>
        <v>0</v>
      </c>
      <c r="AP34" s="33">
        <f t="shared" si="11"/>
        <v>0</v>
      </c>
      <c r="AQ34" s="33">
        <v>1.0</v>
      </c>
      <c r="AR34" s="33">
        <f t="shared" si="12"/>
        <v>0</v>
      </c>
      <c r="AS34" s="33">
        <v>2.0</v>
      </c>
      <c r="AT34" s="33">
        <f t="shared" si="13"/>
        <v>0</v>
      </c>
      <c r="AU34" s="33">
        <v>2.0</v>
      </c>
      <c r="AV34" s="34">
        <f t="shared" si="14"/>
        <v>26</v>
      </c>
      <c r="AW34" s="34">
        <f t="shared" si="15"/>
        <v>26</v>
      </c>
      <c r="AX34" s="59"/>
    </row>
    <row r="35" ht="15.75" customHeight="1">
      <c r="A35" s="1"/>
      <c r="B35" s="69" t="s">
        <v>77</v>
      </c>
      <c r="C35" s="35" t="str">
        <f t="shared" si="3"/>
        <v>October</v>
      </c>
      <c r="D35" s="36" t="s">
        <v>6</v>
      </c>
      <c r="E35" s="36" t="s">
        <v>6</v>
      </c>
      <c r="F35" s="36" t="s">
        <v>25</v>
      </c>
      <c r="G35" s="36" t="s">
        <v>6</v>
      </c>
      <c r="H35" s="36" t="s">
        <v>6</v>
      </c>
      <c r="I35" s="36" t="s">
        <v>6</v>
      </c>
      <c r="J35" s="36" t="s">
        <v>6</v>
      </c>
      <c r="K35" s="36" t="s">
        <v>9</v>
      </c>
      <c r="L35" s="36" t="s">
        <v>10</v>
      </c>
      <c r="M35" s="36" t="s">
        <v>25</v>
      </c>
      <c r="N35" s="36" t="s">
        <v>6</v>
      </c>
      <c r="O35" s="36" t="s">
        <v>6</v>
      </c>
      <c r="P35" s="36" t="s">
        <v>6</v>
      </c>
      <c r="Q35" s="36" t="s">
        <v>6</v>
      </c>
      <c r="R35" s="36" t="s">
        <v>6</v>
      </c>
      <c r="S35" s="36" t="s">
        <v>6</v>
      </c>
      <c r="T35" s="36" t="s">
        <v>25</v>
      </c>
      <c r="U35" s="36" t="s">
        <v>6</v>
      </c>
      <c r="V35" s="36" t="s">
        <v>6</v>
      </c>
      <c r="W35" s="36" t="s">
        <v>6</v>
      </c>
      <c r="X35" s="36" t="s">
        <v>6</v>
      </c>
      <c r="Y35" s="36" t="s">
        <v>6</v>
      </c>
      <c r="Z35" s="36" t="s">
        <v>6</v>
      </c>
      <c r="AA35" s="36" t="s">
        <v>25</v>
      </c>
      <c r="AB35" s="36" t="s">
        <v>6</v>
      </c>
      <c r="AC35" s="36" t="s">
        <v>6</v>
      </c>
      <c r="AD35" s="36" t="s">
        <v>6</v>
      </c>
      <c r="AE35" s="36" t="s">
        <v>6</v>
      </c>
      <c r="AF35" s="36" t="s">
        <v>6</v>
      </c>
      <c r="AG35" s="36" t="s">
        <v>6</v>
      </c>
      <c r="AH35" s="36" t="s">
        <v>25</v>
      </c>
      <c r="AI35" s="36">
        <f t="shared" si="4"/>
        <v>24</v>
      </c>
      <c r="AJ35" s="36">
        <f t="shared" si="5"/>
        <v>0</v>
      </c>
      <c r="AK35" s="36">
        <f t="shared" si="6"/>
        <v>0</v>
      </c>
      <c r="AL35" s="36">
        <f t="shared" si="7"/>
        <v>1</v>
      </c>
      <c r="AM35" s="36">
        <f t="shared" si="8"/>
        <v>1</v>
      </c>
      <c r="AN35" s="36">
        <f t="shared" si="9"/>
        <v>0</v>
      </c>
      <c r="AO35" s="36">
        <f t="shared" si="10"/>
        <v>0</v>
      </c>
      <c r="AP35" s="36">
        <f t="shared" si="11"/>
        <v>0</v>
      </c>
      <c r="AQ35" s="36">
        <v>1.0</v>
      </c>
      <c r="AR35" s="36">
        <f t="shared" si="12"/>
        <v>0</v>
      </c>
      <c r="AS35" s="36">
        <v>2.0</v>
      </c>
      <c r="AT35" s="36">
        <f t="shared" si="13"/>
        <v>0</v>
      </c>
      <c r="AU35" s="36">
        <v>2.0</v>
      </c>
      <c r="AV35" s="37">
        <f t="shared" si="14"/>
        <v>26</v>
      </c>
      <c r="AW35" s="37">
        <f t="shared" si="15"/>
        <v>26</v>
      </c>
      <c r="AX35" s="58"/>
    </row>
    <row r="36" ht="15.75" customHeight="1">
      <c r="A36" s="1"/>
      <c r="B36" s="66" t="s">
        <v>79</v>
      </c>
      <c r="C36" s="32" t="str">
        <f t="shared" si="3"/>
        <v>October</v>
      </c>
      <c r="D36" s="33" t="s">
        <v>6</v>
      </c>
      <c r="E36" s="33" t="s">
        <v>6</v>
      </c>
      <c r="F36" s="33" t="s">
        <v>25</v>
      </c>
      <c r="G36" s="33" t="s">
        <v>6</v>
      </c>
      <c r="H36" s="33" t="s">
        <v>6</v>
      </c>
      <c r="I36" s="33" t="s">
        <v>6</v>
      </c>
      <c r="J36" s="33" t="s">
        <v>6</v>
      </c>
      <c r="K36" s="33" t="s">
        <v>9</v>
      </c>
      <c r="L36" s="33" t="s">
        <v>10</v>
      </c>
      <c r="M36" s="33" t="s">
        <v>25</v>
      </c>
      <c r="N36" s="33" t="s">
        <v>6</v>
      </c>
      <c r="O36" s="33" t="s">
        <v>6</v>
      </c>
      <c r="P36" s="33" t="s">
        <v>6</v>
      </c>
      <c r="Q36" s="33" t="s">
        <v>6</v>
      </c>
      <c r="R36" s="33" t="s">
        <v>6</v>
      </c>
      <c r="S36" s="33" t="s">
        <v>6</v>
      </c>
      <c r="T36" s="33" t="s">
        <v>25</v>
      </c>
      <c r="U36" s="33" t="s">
        <v>6</v>
      </c>
      <c r="V36" s="33" t="s">
        <v>6</v>
      </c>
      <c r="W36" s="33" t="s">
        <v>6</v>
      </c>
      <c r="X36" s="33" t="s">
        <v>6</v>
      </c>
      <c r="Y36" s="33" t="s">
        <v>6</v>
      </c>
      <c r="Z36" s="33" t="s">
        <v>6</v>
      </c>
      <c r="AA36" s="33" t="s">
        <v>25</v>
      </c>
      <c r="AB36" s="33" t="s">
        <v>6</v>
      </c>
      <c r="AC36" s="33" t="s">
        <v>8</v>
      </c>
      <c r="AD36" s="33" t="s">
        <v>6</v>
      </c>
      <c r="AE36" s="33" t="s">
        <v>6</v>
      </c>
      <c r="AF36" s="33" t="s">
        <v>6</v>
      </c>
      <c r="AG36" s="33" t="s">
        <v>6</v>
      </c>
      <c r="AH36" s="33" t="s">
        <v>25</v>
      </c>
      <c r="AI36" s="33">
        <f t="shared" si="4"/>
        <v>23</v>
      </c>
      <c r="AJ36" s="33">
        <f t="shared" si="5"/>
        <v>0</v>
      </c>
      <c r="AK36" s="33">
        <f t="shared" si="6"/>
        <v>1</v>
      </c>
      <c r="AL36" s="33">
        <f t="shared" si="7"/>
        <v>1</v>
      </c>
      <c r="AM36" s="33">
        <f t="shared" si="8"/>
        <v>1</v>
      </c>
      <c r="AN36" s="33">
        <f t="shared" si="9"/>
        <v>0</v>
      </c>
      <c r="AO36" s="33">
        <f t="shared" si="10"/>
        <v>0</v>
      </c>
      <c r="AP36" s="33">
        <f t="shared" si="11"/>
        <v>0</v>
      </c>
      <c r="AQ36" s="33">
        <v>1.0</v>
      </c>
      <c r="AR36" s="33">
        <f t="shared" si="12"/>
        <v>0</v>
      </c>
      <c r="AS36" s="33">
        <v>2.0</v>
      </c>
      <c r="AT36" s="33">
        <f t="shared" si="13"/>
        <v>0</v>
      </c>
      <c r="AU36" s="33">
        <v>2.0</v>
      </c>
      <c r="AV36" s="34">
        <f t="shared" si="14"/>
        <v>26</v>
      </c>
      <c r="AW36" s="34">
        <f t="shared" si="15"/>
        <v>26</v>
      </c>
      <c r="AX36" s="59"/>
    </row>
    <row r="37" ht="15.75" customHeight="1">
      <c r="A37" s="1"/>
      <c r="B37" s="69" t="s">
        <v>81</v>
      </c>
      <c r="C37" s="35" t="str">
        <f t="shared" si="3"/>
        <v>October</v>
      </c>
      <c r="D37" s="36" t="s">
        <v>6</v>
      </c>
      <c r="E37" s="36" t="s">
        <v>6</v>
      </c>
      <c r="F37" s="36" t="s">
        <v>25</v>
      </c>
      <c r="G37" s="36" t="s">
        <v>6</v>
      </c>
      <c r="H37" s="36" t="s">
        <v>6</v>
      </c>
      <c r="I37" s="36" t="s">
        <v>6</v>
      </c>
      <c r="J37" s="36" t="s">
        <v>6</v>
      </c>
      <c r="K37" s="36" t="s">
        <v>9</v>
      </c>
      <c r="L37" s="36" t="s">
        <v>10</v>
      </c>
      <c r="M37" s="36" t="s">
        <v>25</v>
      </c>
      <c r="N37" s="36" t="s">
        <v>6</v>
      </c>
      <c r="O37" s="36" t="s">
        <v>6</v>
      </c>
      <c r="P37" s="36" t="s">
        <v>6</v>
      </c>
      <c r="Q37" s="36" t="s">
        <v>6</v>
      </c>
      <c r="R37" s="36" t="s">
        <v>6</v>
      </c>
      <c r="S37" s="36" t="s">
        <v>6</v>
      </c>
      <c r="T37" s="36" t="s">
        <v>25</v>
      </c>
      <c r="U37" s="36" t="s">
        <v>6</v>
      </c>
      <c r="V37" s="36" t="s">
        <v>6</v>
      </c>
      <c r="W37" s="36" t="s">
        <v>6</v>
      </c>
      <c r="X37" s="36" t="s">
        <v>6</v>
      </c>
      <c r="Y37" s="36" t="s">
        <v>6</v>
      </c>
      <c r="Z37" s="36" t="s">
        <v>6</v>
      </c>
      <c r="AA37" s="36" t="s">
        <v>25</v>
      </c>
      <c r="AB37" s="36" t="s">
        <v>6</v>
      </c>
      <c r="AC37" s="36" t="s">
        <v>6</v>
      </c>
      <c r="AD37" s="36" t="s">
        <v>6</v>
      </c>
      <c r="AE37" s="36" t="s">
        <v>6</v>
      </c>
      <c r="AF37" s="36" t="s">
        <v>6</v>
      </c>
      <c r="AG37" s="36" t="s">
        <v>6</v>
      </c>
      <c r="AH37" s="36" t="s">
        <v>25</v>
      </c>
      <c r="AI37" s="36">
        <f t="shared" si="4"/>
        <v>24</v>
      </c>
      <c r="AJ37" s="36">
        <f t="shared" si="5"/>
        <v>0</v>
      </c>
      <c r="AK37" s="36">
        <f t="shared" si="6"/>
        <v>0</v>
      </c>
      <c r="AL37" s="36">
        <f t="shared" si="7"/>
        <v>1</v>
      </c>
      <c r="AM37" s="36">
        <f t="shared" si="8"/>
        <v>1</v>
      </c>
      <c r="AN37" s="36">
        <f t="shared" si="9"/>
        <v>0</v>
      </c>
      <c r="AO37" s="36">
        <f t="shared" si="10"/>
        <v>0</v>
      </c>
      <c r="AP37" s="36">
        <f t="shared" si="11"/>
        <v>0</v>
      </c>
      <c r="AQ37" s="36">
        <v>1.0</v>
      </c>
      <c r="AR37" s="36">
        <f t="shared" si="12"/>
        <v>0</v>
      </c>
      <c r="AS37" s="36">
        <v>2.0</v>
      </c>
      <c r="AT37" s="36">
        <f t="shared" si="13"/>
        <v>0</v>
      </c>
      <c r="AU37" s="36">
        <v>2.0</v>
      </c>
      <c r="AV37" s="37">
        <f t="shared" si="14"/>
        <v>26</v>
      </c>
      <c r="AW37" s="37">
        <f t="shared" si="15"/>
        <v>26</v>
      </c>
      <c r="AX37" s="58"/>
    </row>
    <row r="38" ht="15.75" customHeight="1">
      <c r="A38" s="1"/>
      <c r="B38" s="66" t="s">
        <v>83</v>
      </c>
      <c r="C38" s="32" t="str">
        <f t="shared" si="3"/>
        <v>October</v>
      </c>
      <c r="D38" s="33" t="s">
        <v>6</v>
      </c>
      <c r="E38" s="33" t="s">
        <v>6</v>
      </c>
      <c r="F38" s="33" t="s">
        <v>25</v>
      </c>
      <c r="G38" s="33" t="s">
        <v>6</v>
      </c>
      <c r="H38" s="33" t="s">
        <v>6</v>
      </c>
      <c r="I38" s="33" t="s">
        <v>6</v>
      </c>
      <c r="J38" s="33" t="s">
        <v>6</v>
      </c>
      <c r="K38" s="33" t="s">
        <v>9</v>
      </c>
      <c r="L38" s="33" t="s">
        <v>10</v>
      </c>
      <c r="M38" s="33" t="s">
        <v>25</v>
      </c>
      <c r="N38" s="33" t="s">
        <v>6</v>
      </c>
      <c r="O38" s="33" t="s">
        <v>6</v>
      </c>
      <c r="P38" s="33" t="s">
        <v>6</v>
      </c>
      <c r="Q38" s="33" t="s">
        <v>6</v>
      </c>
      <c r="R38" s="33" t="s">
        <v>6</v>
      </c>
      <c r="S38" s="33" t="s">
        <v>6</v>
      </c>
      <c r="T38" s="33" t="s">
        <v>25</v>
      </c>
      <c r="U38" s="33" t="s">
        <v>6</v>
      </c>
      <c r="V38" s="33" t="s">
        <v>6</v>
      </c>
      <c r="W38" s="33" t="s">
        <v>6</v>
      </c>
      <c r="X38" s="33" t="s">
        <v>6</v>
      </c>
      <c r="Y38" s="33" t="s">
        <v>6</v>
      </c>
      <c r="Z38" s="33" t="s">
        <v>6</v>
      </c>
      <c r="AA38" s="33" t="s">
        <v>25</v>
      </c>
      <c r="AB38" s="33" t="s">
        <v>6</v>
      </c>
      <c r="AC38" s="33" t="s">
        <v>6</v>
      </c>
      <c r="AD38" s="33" t="s">
        <v>6</v>
      </c>
      <c r="AE38" s="33" t="s">
        <v>6</v>
      </c>
      <c r="AF38" s="33" t="s">
        <v>6</v>
      </c>
      <c r="AG38" s="33" t="s">
        <v>6</v>
      </c>
      <c r="AH38" s="33" t="s">
        <v>25</v>
      </c>
      <c r="AI38" s="33">
        <f t="shared" si="4"/>
        <v>24</v>
      </c>
      <c r="AJ38" s="33">
        <f t="shared" si="5"/>
        <v>0</v>
      </c>
      <c r="AK38" s="33">
        <f t="shared" si="6"/>
        <v>0</v>
      </c>
      <c r="AL38" s="33">
        <f t="shared" si="7"/>
        <v>1</v>
      </c>
      <c r="AM38" s="33">
        <f t="shared" si="8"/>
        <v>1</v>
      </c>
      <c r="AN38" s="33">
        <f t="shared" si="9"/>
        <v>0</v>
      </c>
      <c r="AO38" s="33">
        <f t="shared" si="10"/>
        <v>0</v>
      </c>
      <c r="AP38" s="33">
        <f t="shared" si="11"/>
        <v>0</v>
      </c>
      <c r="AQ38" s="33">
        <v>1.0</v>
      </c>
      <c r="AR38" s="33">
        <f t="shared" si="12"/>
        <v>0</v>
      </c>
      <c r="AS38" s="33">
        <v>2.0</v>
      </c>
      <c r="AT38" s="33">
        <f t="shared" si="13"/>
        <v>0</v>
      </c>
      <c r="AU38" s="33">
        <v>2.0</v>
      </c>
      <c r="AV38" s="34">
        <f t="shared" si="14"/>
        <v>26</v>
      </c>
      <c r="AW38" s="34">
        <f t="shared" si="15"/>
        <v>26</v>
      </c>
      <c r="AX38" s="59"/>
    </row>
    <row r="39" ht="15.75" customHeight="1">
      <c r="A39" s="1"/>
      <c r="B39" s="69" t="s">
        <v>85</v>
      </c>
      <c r="C39" s="35" t="str">
        <f t="shared" si="3"/>
        <v>October</v>
      </c>
      <c r="D39" s="36" t="s">
        <v>6</v>
      </c>
      <c r="E39" s="36" t="s">
        <v>6</v>
      </c>
      <c r="F39" s="36" t="s">
        <v>25</v>
      </c>
      <c r="G39" s="36" t="s">
        <v>6</v>
      </c>
      <c r="H39" s="36" t="s">
        <v>6</v>
      </c>
      <c r="I39" s="36" t="s">
        <v>6</v>
      </c>
      <c r="J39" s="36" t="s">
        <v>6</v>
      </c>
      <c r="K39" s="36" t="s">
        <v>9</v>
      </c>
      <c r="L39" s="36" t="s">
        <v>10</v>
      </c>
      <c r="M39" s="36" t="s">
        <v>25</v>
      </c>
      <c r="N39" s="36" t="s">
        <v>6</v>
      </c>
      <c r="O39" s="36" t="s">
        <v>6</v>
      </c>
      <c r="P39" s="36" t="s">
        <v>6</v>
      </c>
      <c r="Q39" s="36" t="s">
        <v>6</v>
      </c>
      <c r="R39" s="36" t="s">
        <v>6</v>
      </c>
      <c r="S39" s="36" t="s">
        <v>6</v>
      </c>
      <c r="T39" s="36" t="s">
        <v>25</v>
      </c>
      <c r="U39" s="36" t="s">
        <v>6</v>
      </c>
      <c r="V39" s="36" t="s">
        <v>6</v>
      </c>
      <c r="W39" s="36" t="s">
        <v>6</v>
      </c>
      <c r="X39" s="36" t="s">
        <v>6</v>
      </c>
      <c r="Y39" s="36" t="s">
        <v>6</v>
      </c>
      <c r="Z39" s="36" t="s">
        <v>6</v>
      </c>
      <c r="AA39" s="36" t="s">
        <v>25</v>
      </c>
      <c r="AB39" s="36" t="s">
        <v>6</v>
      </c>
      <c r="AC39" s="36" t="s">
        <v>6</v>
      </c>
      <c r="AD39" s="36" t="s">
        <v>6</v>
      </c>
      <c r="AE39" s="36" t="s">
        <v>6</v>
      </c>
      <c r="AF39" s="36" t="s">
        <v>6</v>
      </c>
      <c r="AG39" s="36" t="s">
        <v>6</v>
      </c>
      <c r="AH39" s="36" t="s">
        <v>25</v>
      </c>
      <c r="AI39" s="36">
        <f t="shared" si="4"/>
        <v>24</v>
      </c>
      <c r="AJ39" s="36">
        <f t="shared" si="5"/>
        <v>0</v>
      </c>
      <c r="AK39" s="36">
        <f t="shared" si="6"/>
        <v>0</v>
      </c>
      <c r="AL39" s="36">
        <f t="shared" si="7"/>
        <v>1</v>
      </c>
      <c r="AM39" s="36">
        <f t="shared" si="8"/>
        <v>1</v>
      </c>
      <c r="AN39" s="36">
        <f t="shared" si="9"/>
        <v>0</v>
      </c>
      <c r="AO39" s="36">
        <f t="shared" si="10"/>
        <v>0</v>
      </c>
      <c r="AP39" s="36">
        <f t="shared" si="11"/>
        <v>0</v>
      </c>
      <c r="AQ39" s="36">
        <v>1.0</v>
      </c>
      <c r="AR39" s="36">
        <f t="shared" si="12"/>
        <v>0</v>
      </c>
      <c r="AS39" s="36">
        <v>2.0</v>
      </c>
      <c r="AT39" s="36">
        <f t="shared" si="13"/>
        <v>0</v>
      </c>
      <c r="AU39" s="36">
        <v>2.0</v>
      </c>
      <c r="AV39" s="37">
        <f t="shared" si="14"/>
        <v>26</v>
      </c>
      <c r="AW39" s="37">
        <f t="shared" si="15"/>
        <v>26</v>
      </c>
      <c r="AX39" s="58"/>
    </row>
    <row r="40" ht="15.75" customHeight="1">
      <c r="A40" s="1"/>
      <c r="B40" s="66" t="s">
        <v>87</v>
      </c>
      <c r="C40" s="32" t="str">
        <f t="shared" si="3"/>
        <v>October</v>
      </c>
      <c r="D40" s="33" t="s">
        <v>6</v>
      </c>
      <c r="E40" s="33" t="s">
        <v>6</v>
      </c>
      <c r="F40" s="33" t="s">
        <v>25</v>
      </c>
      <c r="G40" s="33" t="s">
        <v>6</v>
      </c>
      <c r="H40" s="33" t="s">
        <v>6</v>
      </c>
      <c r="I40" s="33" t="s">
        <v>6</v>
      </c>
      <c r="J40" s="33" t="s">
        <v>6</v>
      </c>
      <c r="K40" s="33" t="s">
        <v>9</v>
      </c>
      <c r="L40" s="33" t="s">
        <v>10</v>
      </c>
      <c r="M40" s="33" t="s">
        <v>25</v>
      </c>
      <c r="N40" s="33" t="s">
        <v>6</v>
      </c>
      <c r="O40" s="33" t="s">
        <v>6</v>
      </c>
      <c r="P40" s="33" t="s">
        <v>6</v>
      </c>
      <c r="Q40" s="33" t="s">
        <v>6</v>
      </c>
      <c r="R40" s="33" t="s">
        <v>6</v>
      </c>
      <c r="S40" s="33" t="s">
        <v>6</v>
      </c>
      <c r="T40" s="33" t="s">
        <v>25</v>
      </c>
      <c r="U40" s="33" t="s">
        <v>6</v>
      </c>
      <c r="V40" s="33" t="s">
        <v>6</v>
      </c>
      <c r="W40" s="33" t="s">
        <v>6</v>
      </c>
      <c r="X40" s="33" t="s">
        <v>6</v>
      </c>
      <c r="Y40" s="33" t="s">
        <v>6</v>
      </c>
      <c r="Z40" s="33" t="s">
        <v>6</v>
      </c>
      <c r="AA40" s="33" t="s">
        <v>25</v>
      </c>
      <c r="AB40" s="33" t="s">
        <v>6</v>
      </c>
      <c r="AC40" s="33" t="s">
        <v>6</v>
      </c>
      <c r="AD40" s="33" t="s">
        <v>6</v>
      </c>
      <c r="AE40" s="33" t="s">
        <v>6</v>
      </c>
      <c r="AF40" s="33" t="s">
        <v>6</v>
      </c>
      <c r="AG40" s="33" t="s">
        <v>6</v>
      </c>
      <c r="AH40" s="33" t="s">
        <v>25</v>
      </c>
      <c r="AI40" s="33">
        <f t="shared" si="4"/>
        <v>24</v>
      </c>
      <c r="AJ40" s="33">
        <f t="shared" si="5"/>
        <v>0</v>
      </c>
      <c r="AK40" s="33">
        <f t="shared" si="6"/>
        <v>0</v>
      </c>
      <c r="AL40" s="33">
        <f t="shared" si="7"/>
        <v>1</v>
      </c>
      <c r="AM40" s="33">
        <f t="shared" si="8"/>
        <v>1</v>
      </c>
      <c r="AN40" s="33">
        <f t="shared" si="9"/>
        <v>0</v>
      </c>
      <c r="AO40" s="33">
        <f t="shared" si="10"/>
        <v>0</v>
      </c>
      <c r="AP40" s="33">
        <f t="shared" si="11"/>
        <v>0</v>
      </c>
      <c r="AQ40" s="33">
        <v>1.0</v>
      </c>
      <c r="AR40" s="33">
        <f t="shared" si="12"/>
        <v>0</v>
      </c>
      <c r="AS40" s="33">
        <v>2.0</v>
      </c>
      <c r="AT40" s="33">
        <f t="shared" si="13"/>
        <v>0</v>
      </c>
      <c r="AU40" s="33">
        <v>2.0</v>
      </c>
      <c r="AV40" s="34">
        <f t="shared" si="14"/>
        <v>26</v>
      </c>
      <c r="AW40" s="34">
        <f t="shared" si="15"/>
        <v>26</v>
      </c>
      <c r="AX40" s="59"/>
    </row>
    <row r="41" ht="15.75" customHeight="1">
      <c r="A41" s="1"/>
      <c r="B41" s="69" t="s">
        <v>89</v>
      </c>
      <c r="C41" s="35" t="str">
        <f t="shared" si="3"/>
        <v>October</v>
      </c>
      <c r="D41" s="36" t="s">
        <v>6</v>
      </c>
      <c r="E41" s="36" t="s">
        <v>6</v>
      </c>
      <c r="F41" s="36" t="s">
        <v>25</v>
      </c>
      <c r="G41" s="36" t="s">
        <v>6</v>
      </c>
      <c r="H41" s="36" t="s">
        <v>6</v>
      </c>
      <c r="I41" s="36" t="s">
        <v>6</v>
      </c>
      <c r="J41" s="36" t="s">
        <v>6</v>
      </c>
      <c r="K41" s="36" t="s">
        <v>9</v>
      </c>
      <c r="L41" s="36" t="s">
        <v>10</v>
      </c>
      <c r="M41" s="36" t="s">
        <v>25</v>
      </c>
      <c r="N41" s="36" t="s">
        <v>6</v>
      </c>
      <c r="O41" s="36" t="s">
        <v>6</v>
      </c>
      <c r="P41" s="36" t="s">
        <v>6</v>
      </c>
      <c r="Q41" s="36" t="s">
        <v>6</v>
      </c>
      <c r="R41" s="36" t="s">
        <v>6</v>
      </c>
      <c r="S41" s="36" t="s">
        <v>6</v>
      </c>
      <c r="T41" s="36" t="s">
        <v>25</v>
      </c>
      <c r="U41" s="36" t="s">
        <v>6</v>
      </c>
      <c r="V41" s="36" t="s">
        <v>6</v>
      </c>
      <c r="W41" s="36" t="s">
        <v>6</v>
      </c>
      <c r="X41" s="36" t="s">
        <v>6</v>
      </c>
      <c r="Y41" s="36" t="s">
        <v>6</v>
      </c>
      <c r="Z41" s="36" t="s">
        <v>6</v>
      </c>
      <c r="AA41" s="36" t="s">
        <v>25</v>
      </c>
      <c r="AB41" s="36" t="s">
        <v>6</v>
      </c>
      <c r="AC41" s="36" t="s">
        <v>6</v>
      </c>
      <c r="AD41" s="36" t="s">
        <v>6</v>
      </c>
      <c r="AE41" s="36" t="s">
        <v>6</v>
      </c>
      <c r="AF41" s="36" t="s">
        <v>6</v>
      </c>
      <c r="AG41" s="36" t="s">
        <v>6</v>
      </c>
      <c r="AH41" s="36" t="s">
        <v>25</v>
      </c>
      <c r="AI41" s="36">
        <f t="shared" si="4"/>
        <v>24</v>
      </c>
      <c r="AJ41" s="36">
        <f t="shared" si="5"/>
        <v>0</v>
      </c>
      <c r="AK41" s="36">
        <f t="shared" si="6"/>
        <v>0</v>
      </c>
      <c r="AL41" s="36">
        <f t="shared" si="7"/>
        <v>1</v>
      </c>
      <c r="AM41" s="36">
        <f t="shared" si="8"/>
        <v>1</v>
      </c>
      <c r="AN41" s="36">
        <f t="shared" si="9"/>
        <v>0</v>
      </c>
      <c r="AO41" s="36">
        <f t="shared" si="10"/>
        <v>0</v>
      </c>
      <c r="AP41" s="36">
        <f t="shared" si="11"/>
        <v>0</v>
      </c>
      <c r="AQ41" s="36">
        <v>1.0</v>
      </c>
      <c r="AR41" s="36">
        <f t="shared" si="12"/>
        <v>0</v>
      </c>
      <c r="AS41" s="36">
        <v>2.0</v>
      </c>
      <c r="AT41" s="36">
        <f t="shared" si="13"/>
        <v>0</v>
      </c>
      <c r="AU41" s="36">
        <v>2.0</v>
      </c>
      <c r="AV41" s="37">
        <f t="shared" si="14"/>
        <v>26</v>
      </c>
      <c r="AW41" s="37">
        <f t="shared" si="15"/>
        <v>26</v>
      </c>
      <c r="AX41" s="58"/>
    </row>
    <row r="42" ht="15.75" customHeight="1">
      <c r="A42" s="1"/>
      <c r="B42" s="66" t="s">
        <v>91</v>
      </c>
      <c r="C42" s="32" t="str">
        <f t="shared" si="3"/>
        <v>October</v>
      </c>
      <c r="D42" s="33" t="s">
        <v>6</v>
      </c>
      <c r="E42" s="33" t="s">
        <v>6</v>
      </c>
      <c r="F42" s="33" t="s">
        <v>25</v>
      </c>
      <c r="G42" s="33" t="s">
        <v>6</v>
      </c>
      <c r="H42" s="33" t="s">
        <v>6</v>
      </c>
      <c r="I42" s="33" t="s">
        <v>6</v>
      </c>
      <c r="J42" s="33" t="s">
        <v>6</v>
      </c>
      <c r="K42" s="33" t="s">
        <v>9</v>
      </c>
      <c r="L42" s="33" t="s">
        <v>10</v>
      </c>
      <c r="M42" s="33" t="s">
        <v>25</v>
      </c>
      <c r="N42" s="33" t="s">
        <v>6</v>
      </c>
      <c r="O42" s="33" t="s">
        <v>6</v>
      </c>
      <c r="P42" s="33" t="s">
        <v>6</v>
      </c>
      <c r="Q42" s="33" t="s">
        <v>6</v>
      </c>
      <c r="R42" s="33" t="s">
        <v>6</v>
      </c>
      <c r="S42" s="33" t="s">
        <v>6</v>
      </c>
      <c r="T42" s="33" t="s">
        <v>25</v>
      </c>
      <c r="U42" s="33" t="s">
        <v>6</v>
      </c>
      <c r="V42" s="33" t="s">
        <v>6</v>
      </c>
      <c r="W42" s="33" t="s">
        <v>6</v>
      </c>
      <c r="X42" s="33" t="s">
        <v>6</v>
      </c>
      <c r="Y42" s="33" t="s">
        <v>6</v>
      </c>
      <c r="Z42" s="33" t="s">
        <v>6</v>
      </c>
      <c r="AA42" s="33" t="s">
        <v>25</v>
      </c>
      <c r="AB42" s="33" t="s">
        <v>6</v>
      </c>
      <c r="AC42" s="33" t="s">
        <v>6</v>
      </c>
      <c r="AD42" s="33" t="s">
        <v>6</v>
      </c>
      <c r="AE42" s="33" t="s">
        <v>6</v>
      </c>
      <c r="AF42" s="33" t="s">
        <v>6</v>
      </c>
      <c r="AG42" s="33" t="s">
        <v>6</v>
      </c>
      <c r="AH42" s="33" t="s">
        <v>25</v>
      </c>
      <c r="AI42" s="33">
        <f t="shared" si="4"/>
        <v>24</v>
      </c>
      <c r="AJ42" s="33">
        <f t="shared" si="5"/>
        <v>0</v>
      </c>
      <c r="AK42" s="33">
        <f t="shared" si="6"/>
        <v>0</v>
      </c>
      <c r="AL42" s="33">
        <f t="shared" si="7"/>
        <v>1</v>
      </c>
      <c r="AM42" s="33">
        <f t="shared" si="8"/>
        <v>1</v>
      </c>
      <c r="AN42" s="33">
        <f t="shared" si="9"/>
        <v>0</v>
      </c>
      <c r="AO42" s="33">
        <f t="shared" si="10"/>
        <v>0</v>
      </c>
      <c r="AP42" s="33">
        <f t="shared" si="11"/>
        <v>0</v>
      </c>
      <c r="AQ42" s="33">
        <v>1.0</v>
      </c>
      <c r="AR42" s="33">
        <f t="shared" si="12"/>
        <v>0</v>
      </c>
      <c r="AS42" s="33">
        <v>2.0</v>
      </c>
      <c r="AT42" s="33">
        <f t="shared" si="13"/>
        <v>0</v>
      </c>
      <c r="AU42" s="33">
        <v>2.0</v>
      </c>
      <c r="AV42" s="34">
        <f t="shared" si="14"/>
        <v>26</v>
      </c>
      <c r="AW42" s="34">
        <f t="shared" si="15"/>
        <v>26</v>
      </c>
      <c r="AX42" s="59"/>
    </row>
    <row r="43" ht="15.75" customHeight="1">
      <c r="A43" s="1"/>
      <c r="B43" s="69" t="s">
        <v>93</v>
      </c>
      <c r="C43" s="35" t="str">
        <f t="shared" si="3"/>
        <v>October</v>
      </c>
      <c r="D43" s="36" t="s">
        <v>6</v>
      </c>
      <c r="E43" s="36" t="s">
        <v>6</v>
      </c>
      <c r="F43" s="36" t="s">
        <v>25</v>
      </c>
      <c r="G43" s="36" t="s">
        <v>6</v>
      </c>
      <c r="H43" s="36" t="s">
        <v>6</v>
      </c>
      <c r="I43" s="36" t="s">
        <v>6</v>
      </c>
      <c r="J43" s="36" t="s">
        <v>6</v>
      </c>
      <c r="K43" s="36" t="s">
        <v>9</v>
      </c>
      <c r="L43" s="36" t="s">
        <v>10</v>
      </c>
      <c r="M43" s="36" t="s">
        <v>25</v>
      </c>
      <c r="N43" s="36" t="s">
        <v>6</v>
      </c>
      <c r="O43" s="36" t="s">
        <v>6</v>
      </c>
      <c r="P43" s="36" t="s">
        <v>6</v>
      </c>
      <c r="Q43" s="36" t="s">
        <v>6</v>
      </c>
      <c r="R43" s="36" t="s">
        <v>6</v>
      </c>
      <c r="S43" s="36" t="s">
        <v>6</v>
      </c>
      <c r="T43" s="36" t="s">
        <v>25</v>
      </c>
      <c r="U43" s="36" t="s">
        <v>6</v>
      </c>
      <c r="V43" s="36" t="s">
        <v>6</v>
      </c>
      <c r="W43" s="36" t="s">
        <v>6</v>
      </c>
      <c r="X43" s="36" t="s">
        <v>6</v>
      </c>
      <c r="Y43" s="36" t="s">
        <v>6</v>
      </c>
      <c r="Z43" s="36" t="s">
        <v>6</v>
      </c>
      <c r="AA43" s="36" t="s">
        <v>25</v>
      </c>
      <c r="AB43" s="36" t="s">
        <v>6</v>
      </c>
      <c r="AC43" s="36" t="s">
        <v>6</v>
      </c>
      <c r="AD43" s="36" t="s">
        <v>6</v>
      </c>
      <c r="AE43" s="36" t="s">
        <v>6</v>
      </c>
      <c r="AF43" s="36" t="s">
        <v>6</v>
      </c>
      <c r="AG43" s="36" t="s">
        <v>6</v>
      </c>
      <c r="AH43" s="36" t="s">
        <v>25</v>
      </c>
      <c r="AI43" s="36">
        <f t="shared" si="4"/>
        <v>24</v>
      </c>
      <c r="AJ43" s="36">
        <f t="shared" si="5"/>
        <v>0</v>
      </c>
      <c r="AK43" s="36">
        <f t="shared" si="6"/>
        <v>0</v>
      </c>
      <c r="AL43" s="36">
        <f t="shared" si="7"/>
        <v>1</v>
      </c>
      <c r="AM43" s="36">
        <f t="shared" si="8"/>
        <v>1</v>
      </c>
      <c r="AN43" s="36">
        <f t="shared" si="9"/>
        <v>0</v>
      </c>
      <c r="AO43" s="36">
        <f t="shared" si="10"/>
        <v>0</v>
      </c>
      <c r="AP43" s="36">
        <f t="shared" si="11"/>
        <v>0</v>
      </c>
      <c r="AQ43" s="36">
        <v>1.0</v>
      </c>
      <c r="AR43" s="36">
        <f t="shared" si="12"/>
        <v>0</v>
      </c>
      <c r="AS43" s="36">
        <v>2.0</v>
      </c>
      <c r="AT43" s="36">
        <f t="shared" si="13"/>
        <v>0</v>
      </c>
      <c r="AU43" s="36">
        <v>2.0</v>
      </c>
      <c r="AV43" s="37">
        <f t="shared" si="14"/>
        <v>26</v>
      </c>
      <c r="AW43" s="37">
        <f t="shared" si="15"/>
        <v>26</v>
      </c>
      <c r="AX43" s="58"/>
    </row>
    <row r="44" ht="15.75" customHeight="1">
      <c r="A44" s="1"/>
      <c r="B44" s="66" t="s">
        <v>95</v>
      </c>
      <c r="C44" s="32" t="str">
        <f t="shared" si="3"/>
        <v>October</v>
      </c>
      <c r="D44" s="33" t="s">
        <v>6</v>
      </c>
      <c r="E44" s="33" t="s">
        <v>6</v>
      </c>
      <c r="F44" s="33" t="s">
        <v>25</v>
      </c>
      <c r="G44" s="33" t="s">
        <v>6</v>
      </c>
      <c r="H44" s="33" t="s">
        <v>6</v>
      </c>
      <c r="I44" s="33" t="s">
        <v>6</v>
      </c>
      <c r="J44" s="33" t="s">
        <v>6</v>
      </c>
      <c r="K44" s="33" t="s">
        <v>9</v>
      </c>
      <c r="L44" s="33" t="s">
        <v>10</v>
      </c>
      <c r="M44" s="33" t="s">
        <v>25</v>
      </c>
      <c r="N44" s="33" t="s">
        <v>6</v>
      </c>
      <c r="O44" s="33" t="s">
        <v>6</v>
      </c>
      <c r="P44" s="33" t="s">
        <v>6</v>
      </c>
      <c r="Q44" s="33" t="s">
        <v>6</v>
      </c>
      <c r="R44" s="33" t="s">
        <v>6</v>
      </c>
      <c r="S44" s="33" t="s">
        <v>6</v>
      </c>
      <c r="T44" s="33" t="s">
        <v>25</v>
      </c>
      <c r="U44" s="33" t="s">
        <v>6</v>
      </c>
      <c r="V44" s="33" t="s">
        <v>6</v>
      </c>
      <c r="W44" s="33" t="s">
        <v>6</v>
      </c>
      <c r="X44" s="33" t="s">
        <v>6</v>
      </c>
      <c r="Y44" s="33" t="s">
        <v>6</v>
      </c>
      <c r="Z44" s="33" t="s">
        <v>6</v>
      </c>
      <c r="AA44" s="33" t="s">
        <v>25</v>
      </c>
      <c r="AB44" s="33" t="s">
        <v>6</v>
      </c>
      <c r="AC44" s="33" t="s">
        <v>6</v>
      </c>
      <c r="AD44" s="33" t="s">
        <v>6</v>
      </c>
      <c r="AE44" s="33" t="s">
        <v>6</v>
      </c>
      <c r="AF44" s="33" t="s">
        <v>6</v>
      </c>
      <c r="AG44" s="33" t="s">
        <v>6</v>
      </c>
      <c r="AH44" s="33" t="s">
        <v>25</v>
      </c>
      <c r="AI44" s="33">
        <f t="shared" si="4"/>
        <v>24</v>
      </c>
      <c r="AJ44" s="33">
        <f t="shared" si="5"/>
        <v>0</v>
      </c>
      <c r="AK44" s="33">
        <f t="shared" si="6"/>
        <v>0</v>
      </c>
      <c r="AL44" s="33">
        <f t="shared" si="7"/>
        <v>1</v>
      </c>
      <c r="AM44" s="33">
        <f t="shared" si="8"/>
        <v>1</v>
      </c>
      <c r="AN44" s="33">
        <f t="shared" si="9"/>
        <v>0</v>
      </c>
      <c r="AO44" s="33">
        <f t="shared" si="10"/>
        <v>0</v>
      </c>
      <c r="AP44" s="33">
        <f t="shared" si="11"/>
        <v>0</v>
      </c>
      <c r="AQ44" s="33">
        <v>1.0</v>
      </c>
      <c r="AR44" s="33">
        <f t="shared" si="12"/>
        <v>0</v>
      </c>
      <c r="AS44" s="33">
        <v>2.0</v>
      </c>
      <c r="AT44" s="33">
        <f t="shared" si="13"/>
        <v>0</v>
      </c>
      <c r="AU44" s="33">
        <v>2.0</v>
      </c>
      <c r="AV44" s="34">
        <f t="shared" si="14"/>
        <v>26</v>
      </c>
      <c r="AW44" s="34">
        <f t="shared" si="15"/>
        <v>26</v>
      </c>
      <c r="AX44" s="59"/>
    </row>
    <row r="45" ht="15.75" customHeight="1">
      <c r="A45" s="1"/>
      <c r="B45" s="69" t="s">
        <v>97</v>
      </c>
      <c r="C45" s="35" t="str">
        <f t="shared" si="3"/>
        <v>October</v>
      </c>
      <c r="D45" s="36" t="s">
        <v>6</v>
      </c>
      <c r="E45" s="36" t="s">
        <v>6</v>
      </c>
      <c r="F45" s="36" t="s">
        <v>25</v>
      </c>
      <c r="G45" s="36" t="s">
        <v>6</v>
      </c>
      <c r="H45" s="36" t="s">
        <v>6</v>
      </c>
      <c r="I45" s="36" t="s">
        <v>6</v>
      </c>
      <c r="J45" s="36" t="s">
        <v>6</v>
      </c>
      <c r="K45" s="36" t="s">
        <v>9</v>
      </c>
      <c r="L45" s="36" t="s">
        <v>10</v>
      </c>
      <c r="M45" s="36" t="s">
        <v>25</v>
      </c>
      <c r="N45" s="36" t="s">
        <v>6</v>
      </c>
      <c r="O45" s="36" t="s">
        <v>6</v>
      </c>
      <c r="P45" s="36" t="s">
        <v>6</v>
      </c>
      <c r="Q45" s="36" t="s">
        <v>6</v>
      </c>
      <c r="R45" s="36" t="s">
        <v>6</v>
      </c>
      <c r="S45" s="36" t="s">
        <v>6</v>
      </c>
      <c r="T45" s="36" t="s">
        <v>25</v>
      </c>
      <c r="U45" s="36" t="s">
        <v>6</v>
      </c>
      <c r="V45" s="36" t="s">
        <v>6</v>
      </c>
      <c r="W45" s="36" t="s">
        <v>6</v>
      </c>
      <c r="X45" s="36" t="s">
        <v>6</v>
      </c>
      <c r="Y45" s="36" t="s">
        <v>6</v>
      </c>
      <c r="Z45" s="36" t="s">
        <v>6</v>
      </c>
      <c r="AA45" s="36" t="s">
        <v>25</v>
      </c>
      <c r="AB45" s="36" t="s">
        <v>6</v>
      </c>
      <c r="AC45" s="36" t="s">
        <v>6</v>
      </c>
      <c r="AD45" s="36" t="s">
        <v>6</v>
      </c>
      <c r="AE45" s="36" t="s">
        <v>6</v>
      </c>
      <c r="AF45" s="36" t="s">
        <v>6</v>
      </c>
      <c r="AG45" s="36" t="s">
        <v>6</v>
      </c>
      <c r="AH45" s="36" t="s">
        <v>25</v>
      </c>
      <c r="AI45" s="36">
        <f t="shared" si="4"/>
        <v>24</v>
      </c>
      <c r="AJ45" s="36">
        <f t="shared" si="5"/>
        <v>0</v>
      </c>
      <c r="AK45" s="36">
        <f t="shared" si="6"/>
        <v>0</v>
      </c>
      <c r="AL45" s="36">
        <f t="shared" si="7"/>
        <v>1</v>
      </c>
      <c r="AM45" s="36">
        <f t="shared" si="8"/>
        <v>1</v>
      </c>
      <c r="AN45" s="36">
        <f t="shared" si="9"/>
        <v>0</v>
      </c>
      <c r="AO45" s="36">
        <f t="shared" si="10"/>
        <v>0</v>
      </c>
      <c r="AP45" s="36">
        <f t="shared" si="11"/>
        <v>0</v>
      </c>
      <c r="AQ45" s="36">
        <v>1.0</v>
      </c>
      <c r="AR45" s="36">
        <f t="shared" si="12"/>
        <v>0</v>
      </c>
      <c r="AS45" s="36">
        <v>2.0</v>
      </c>
      <c r="AT45" s="36">
        <f t="shared" si="13"/>
        <v>0</v>
      </c>
      <c r="AU45" s="36">
        <v>2.0</v>
      </c>
      <c r="AV45" s="37">
        <f t="shared" si="14"/>
        <v>26</v>
      </c>
      <c r="AW45" s="37">
        <f t="shared" si="15"/>
        <v>26</v>
      </c>
      <c r="AX45" s="58"/>
    </row>
    <row r="46" ht="15.75" customHeight="1">
      <c r="A46" s="1"/>
      <c r="B46" s="66" t="s">
        <v>99</v>
      </c>
      <c r="C46" s="32" t="str">
        <f t="shared" si="3"/>
        <v>October</v>
      </c>
      <c r="D46" s="33" t="s">
        <v>6</v>
      </c>
      <c r="E46" s="33" t="s">
        <v>6</v>
      </c>
      <c r="F46" s="33" t="s">
        <v>25</v>
      </c>
      <c r="G46" s="33" t="s">
        <v>6</v>
      </c>
      <c r="H46" s="33" t="s">
        <v>6</v>
      </c>
      <c r="I46" s="33" t="s">
        <v>6</v>
      </c>
      <c r="J46" s="33" t="s">
        <v>6</v>
      </c>
      <c r="K46" s="33" t="s">
        <v>9</v>
      </c>
      <c r="L46" s="33" t="s">
        <v>10</v>
      </c>
      <c r="M46" s="33" t="s">
        <v>25</v>
      </c>
      <c r="N46" s="33" t="s">
        <v>6</v>
      </c>
      <c r="O46" s="33" t="s">
        <v>6</v>
      </c>
      <c r="P46" s="33" t="s">
        <v>6</v>
      </c>
      <c r="Q46" s="33" t="s">
        <v>6</v>
      </c>
      <c r="R46" s="33" t="s">
        <v>6</v>
      </c>
      <c r="S46" s="33" t="s">
        <v>6</v>
      </c>
      <c r="T46" s="33" t="s">
        <v>25</v>
      </c>
      <c r="U46" s="33" t="s">
        <v>6</v>
      </c>
      <c r="V46" s="33" t="s">
        <v>6</v>
      </c>
      <c r="W46" s="33" t="s">
        <v>6</v>
      </c>
      <c r="X46" s="33" t="s">
        <v>6</v>
      </c>
      <c r="Y46" s="33" t="s">
        <v>6</v>
      </c>
      <c r="Z46" s="33" t="s">
        <v>6</v>
      </c>
      <c r="AA46" s="33" t="s">
        <v>25</v>
      </c>
      <c r="AB46" s="33" t="s">
        <v>6</v>
      </c>
      <c r="AC46" s="33" t="s">
        <v>6</v>
      </c>
      <c r="AD46" s="33" t="s">
        <v>6</v>
      </c>
      <c r="AE46" s="33" t="s">
        <v>6</v>
      </c>
      <c r="AF46" s="33" t="s">
        <v>6</v>
      </c>
      <c r="AG46" s="33" t="s">
        <v>6</v>
      </c>
      <c r="AH46" s="33" t="s">
        <v>25</v>
      </c>
      <c r="AI46" s="33">
        <f t="shared" si="4"/>
        <v>24</v>
      </c>
      <c r="AJ46" s="33">
        <f t="shared" si="5"/>
        <v>0</v>
      </c>
      <c r="AK46" s="33">
        <f t="shared" si="6"/>
        <v>0</v>
      </c>
      <c r="AL46" s="33">
        <f t="shared" si="7"/>
        <v>1</v>
      </c>
      <c r="AM46" s="33">
        <f t="shared" si="8"/>
        <v>1</v>
      </c>
      <c r="AN46" s="33">
        <f t="shared" si="9"/>
        <v>0</v>
      </c>
      <c r="AO46" s="33">
        <f t="shared" si="10"/>
        <v>0</v>
      </c>
      <c r="AP46" s="33">
        <f t="shared" si="11"/>
        <v>0</v>
      </c>
      <c r="AQ46" s="33">
        <v>1.0</v>
      </c>
      <c r="AR46" s="33">
        <f t="shared" si="12"/>
        <v>0</v>
      </c>
      <c r="AS46" s="33">
        <v>2.0</v>
      </c>
      <c r="AT46" s="33">
        <f t="shared" si="13"/>
        <v>0</v>
      </c>
      <c r="AU46" s="33">
        <v>2.0</v>
      </c>
      <c r="AV46" s="34">
        <f t="shared" si="14"/>
        <v>26</v>
      </c>
      <c r="AW46" s="34">
        <f t="shared" si="15"/>
        <v>26</v>
      </c>
      <c r="AX46" s="59"/>
    </row>
    <row r="47" ht="15.75" customHeight="1">
      <c r="A47" s="1"/>
      <c r="B47" s="69" t="s">
        <v>101</v>
      </c>
      <c r="C47" s="35" t="str">
        <f t="shared" si="3"/>
        <v>October</v>
      </c>
      <c r="D47" s="36" t="s">
        <v>6</v>
      </c>
      <c r="E47" s="36" t="s">
        <v>6</v>
      </c>
      <c r="F47" s="36" t="s">
        <v>25</v>
      </c>
      <c r="G47" s="36" t="s">
        <v>6</v>
      </c>
      <c r="H47" s="36" t="s">
        <v>6</v>
      </c>
      <c r="I47" s="36" t="s">
        <v>6</v>
      </c>
      <c r="J47" s="36" t="s">
        <v>6</v>
      </c>
      <c r="K47" s="36" t="s">
        <v>9</v>
      </c>
      <c r="L47" s="36" t="s">
        <v>10</v>
      </c>
      <c r="M47" s="36" t="s">
        <v>25</v>
      </c>
      <c r="N47" s="36" t="s">
        <v>6</v>
      </c>
      <c r="O47" s="36" t="s">
        <v>6</v>
      </c>
      <c r="P47" s="36" t="s">
        <v>6</v>
      </c>
      <c r="Q47" s="36" t="s">
        <v>6</v>
      </c>
      <c r="R47" s="36" t="s">
        <v>6</v>
      </c>
      <c r="S47" s="36" t="s">
        <v>6</v>
      </c>
      <c r="T47" s="36" t="s">
        <v>25</v>
      </c>
      <c r="U47" s="36" t="s">
        <v>6</v>
      </c>
      <c r="V47" s="36" t="s">
        <v>6</v>
      </c>
      <c r="W47" s="36" t="s">
        <v>6</v>
      </c>
      <c r="X47" s="36" t="s">
        <v>6</v>
      </c>
      <c r="Y47" s="36" t="s">
        <v>6</v>
      </c>
      <c r="Z47" s="36" t="s">
        <v>6</v>
      </c>
      <c r="AA47" s="36" t="s">
        <v>25</v>
      </c>
      <c r="AB47" s="36" t="s">
        <v>6</v>
      </c>
      <c r="AC47" s="36" t="s">
        <v>6</v>
      </c>
      <c r="AD47" s="36" t="s">
        <v>6</v>
      </c>
      <c r="AE47" s="36" t="s">
        <v>6</v>
      </c>
      <c r="AF47" s="36" t="s">
        <v>6</v>
      </c>
      <c r="AG47" s="36" t="s">
        <v>6</v>
      </c>
      <c r="AH47" s="36" t="s">
        <v>25</v>
      </c>
      <c r="AI47" s="36">
        <f t="shared" si="4"/>
        <v>24</v>
      </c>
      <c r="AJ47" s="36">
        <f t="shared" si="5"/>
        <v>0</v>
      </c>
      <c r="AK47" s="36">
        <f t="shared" si="6"/>
        <v>0</v>
      </c>
      <c r="AL47" s="36">
        <f t="shared" si="7"/>
        <v>1</v>
      </c>
      <c r="AM47" s="36">
        <f t="shared" si="8"/>
        <v>1</v>
      </c>
      <c r="AN47" s="36">
        <f t="shared" si="9"/>
        <v>0</v>
      </c>
      <c r="AO47" s="36">
        <f t="shared" si="10"/>
        <v>0</v>
      </c>
      <c r="AP47" s="36">
        <f t="shared" si="11"/>
        <v>0</v>
      </c>
      <c r="AQ47" s="36">
        <v>1.0</v>
      </c>
      <c r="AR47" s="36">
        <f t="shared" si="12"/>
        <v>0</v>
      </c>
      <c r="AS47" s="36">
        <v>2.0</v>
      </c>
      <c r="AT47" s="36">
        <f t="shared" si="13"/>
        <v>0</v>
      </c>
      <c r="AU47" s="36">
        <v>2.0</v>
      </c>
      <c r="AV47" s="37">
        <f t="shared" si="14"/>
        <v>26</v>
      </c>
      <c r="AW47" s="37">
        <f t="shared" si="15"/>
        <v>26</v>
      </c>
      <c r="AX47" s="58"/>
    </row>
    <row r="48" ht="15.75" customHeight="1">
      <c r="A48" s="1"/>
      <c r="B48" s="66" t="s">
        <v>103</v>
      </c>
      <c r="C48" s="32" t="str">
        <f t="shared" si="3"/>
        <v>October</v>
      </c>
      <c r="D48" s="33" t="s">
        <v>6</v>
      </c>
      <c r="E48" s="33" t="s">
        <v>6</v>
      </c>
      <c r="F48" s="33" t="s">
        <v>25</v>
      </c>
      <c r="G48" s="33" t="s">
        <v>6</v>
      </c>
      <c r="H48" s="33" t="s">
        <v>6</v>
      </c>
      <c r="I48" s="33" t="s">
        <v>6</v>
      </c>
      <c r="J48" s="33" t="s">
        <v>6</v>
      </c>
      <c r="K48" s="33" t="s">
        <v>9</v>
      </c>
      <c r="L48" s="33" t="s">
        <v>10</v>
      </c>
      <c r="M48" s="33" t="s">
        <v>25</v>
      </c>
      <c r="N48" s="33" t="s">
        <v>6</v>
      </c>
      <c r="O48" s="33" t="s">
        <v>6</v>
      </c>
      <c r="P48" s="33" t="s">
        <v>6</v>
      </c>
      <c r="Q48" s="33" t="s">
        <v>6</v>
      </c>
      <c r="R48" s="33" t="s">
        <v>6</v>
      </c>
      <c r="S48" s="33" t="s">
        <v>6</v>
      </c>
      <c r="T48" s="33" t="s">
        <v>25</v>
      </c>
      <c r="U48" s="33" t="s">
        <v>6</v>
      </c>
      <c r="V48" s="33" t="s">
        <v>6</v>
      </c>
      <c r="W48" s="33" t="s">
        <v>6</v>
      </c>
      <c r="X48" s="33" t="s">
        <v>6</v>
      </c>
      <c r="Y48" s="33" t="s">
        <v>6</v>
      </c>
      <c r="Z48" s="33" t="s">
        <v>6</v>
      </c>
      <c r="AA48" s="33" t="s">
        <v>25</v>
      </c>
      <c r="AB48" s="33" t="s">
        <v>6</v>
      </c>
      <c r="AC48" s="33" t="s">
        <v>6</v>
      </c>
      <c r="AD48" s="33" t="s">
        <v>6</v>
      </c>
      <c r="AE48" s="33" t="s">
        <v>6</v>
      </c>
      <c r="AF48" s="33" t="s">
        <v>6</v>
      </c>
      <c r="AG48" s="33" t="s">
        <v>6</v>
      </c>
      <c r="AH48" s="33" t="s">
        <v>25</v>
      </c>
      <c r="AI48" s="33">
        <f t="shared" si="4"/>
        <v>24</v>
      </c>
      <c r="AJ48" s="33">
        <f t="shared" si="5"/>
        <v>0</v>
      </c>
      <c r="AK48" s="33">
        <f t="shared" si="6"/>
        <v>0</v>
      </c>
      <c r="AL48" s="33">
        <f t="shared" si="7"/>
        <v>1</v>
      </c>
      <c r="AM48" s="33">
        <f t="shared" si="8"/>
        <v>1</v>
      </c>
      <c r="AN48" s="33">
        <f t="shared" si="9"/>
        <v>0</v>
      </c>
      <c r="AO48" s="33">
        <f t="shared" si="10"/>
        <v>0</v>
      </c>
      <c r="AP48" s="33">
        <f t="shared" si="11"/>
        <v>0</v>
      </c>
      <c r="AQ48" s="33">
        <v>1.0</v>
      </c>
      <c r="AR48" s="33">
        <f t="shared" si="12"/>
        <v>0</v>
      </c>
      <c r="AS48" s="33">
        <v>2.0</v>
      </c>
      <c r="AT48" s="33">
        <f t="shared" si="13"/>
        <v>0</v>
      </c>
      <c r="AU48" s="33">
        <v>2.0</v>
      </c>
      <c r="AV48" s="34">
        <f t="shared" si="14"/>
        <v>26</v>
      </c>
      <c r="AW48" s="34">
        <f t="shared" si="15"/>
        <v>26</v>
      </c>
      <c r="AX48" s="59"/>
    </row>
    <row r="49" ht="15.75" customHeight="1">
      <c r="A49" s="1"/>
      <c r="B49" s="69" t="s">
        <v>105</v>
      </c>
      <c r="C49" s="35" t="str">
        <f t="shared" si="3"/>
        <v>October</v>
      </c>
      <c r="D49" s="36" t="s">
        <v>6</v>
      </c>
      <c r="E49" s="36" t="s">
        <v>6</v>
      </c>
      <c r="F49" s="36" t="s">
        <v>25</v>
      </c>
      <c r="G49" s="36" t="s">
        <v>6</v>
      </c>
      <c r="H49" s="36" t="s">
        <v>6</v>
      </c>
      <c r="I49" s="36" t="s">
        <v>6</v>
      </c>
      <c r="J49" s="36" t="s">
        <v>6</v>
      </c>
      <c r="K49" s="36" t="s">
        <v>9</v>
      </c>
      <c r="L49" s="36" t="s">
        <v>10</v>
      </c>
      <c r="M49" s="36" t="s">
        <v>25</v>
      </c>
      <c r="N49" s="36" t="s">
        <v>6</v>
      </c>
      <c r="O49" s="36" t="s">
        <v>6</v>
      </c>
      <c r="P49" s="36" t="s">
        <v>6</v>
      </c>
      <c r="Q49" s="36" t="s">
        <v>6</v>
      </c>
      <c r="R49" s="36" t="s">
        <v>6</v>
      </c>
      <c r="S49" s="36" t="s">
        <v>6</v>
      </c>
      <c r="T49" s="36" t="s">
        <v>25</v>
      </c>
      <c r="U49" s="36" t="s">
        <v>6</v>
      </c>
      <c r="V49" s="36" t="s">
        <v>6</v>
      </c>
      <c r="W49" s="36" t="s">
        <v>6</v>
      </c>
      <c r="X49" s="36" t="s">
        <v>6</v>
      </c>
      <c r="Y49" s="36" t="s">
        <v>6</v>
      </c>
      <c r="Z49" s="36" t="s">
        <v>6</v>
      </c>
      <c r="AA49" s="36" t="s">
        <v>25</v>
      </c>
      <c r="AB49" s="36" t="s">
        <v>6</v>
      </c>
      <c r="AC49" s="36" t="s">
        <v>6</v>
      </c>
      <c r="AD49" s="36" t="s">
        <v>6</v>
      </c>
      <c r="AE49" s="36" t="s">
        <v>6</v>
      </c>
      <c r="AF49" s="36" t="s">
        <v>6</v>
      </c>
      <c r="AG49" s="36" t="s">
        <v>6</v>
      </c>
      <c r="AH49" s="36" t="s">
        <v>25</v>
      </c>
      <c r="AI49" s="36">
        <f t="shared" si="4"/>
        <v>24</v>
      </c>
      <c r="AJ49" s="36">
        <f t="shared" si="5"/>
        <v>0</v>
      </c>
      <c r="AK49" s="36">
        <f t="shared" si="6"/>
        <v>0</v>
      </c>
      <c r="AL49" s="36">
        <f t="shared" si="7"/>
        <v>1</v>
      </c>
      <c r="AM49" s="36">
        <f t="shared" si="8"/>
        <v>1</v>
      </c>
      <c r="AN49" s="36">
        <f t="shared" si="9"/>
        <v>0</v>
      </c>
      <c r="AO49" s="36">
        <f t="shared" si="10"/>
        <v>0</v>
      </c>
      <c r="AP49" s="36">
        <f t="shared" si="11"/>
        <v>0</v>
      </c>
      <c r="AQ49" s="36">
        <v>1.0</v>
      </c>
      <c r="AR49" s="36">
        <f t="shared" si="12"/>
        <v>0</v>
      </c>
      <c r="AS49" s="36">
        <v>2.0</v>
      </c>
      <c r="AT49" s="36">
        <f t="shared" si="13"/>
        <v>0</v>
      </c>
      <c r="AU49" s="36">
        <v>2.0</v>
      </c>
      <c r="AV49" s="37">
        <f t="shared" si="14"/>
        <v>26</v>
      </c>
      <c r="AW49" s="37">
        <f t="shared" si="15"/>
        <v>26</v>
      </c>
      <c r="AX49" s="58"/>
    </row>
    <row r="50" ht="15.75" customHeight="1">
      <c r="A50" s="1"/>
      <c r="B50" s="66" t="s">
        <v>107</v>
      </c>
      <c r="C50" s="32" t="str">
        <f t="shared" si="3"/>
        <v>October</v>
      </c>
      <c r="D50" s="33" t="s">
        <v>6</v>
      </c>
      <c r="E50" s="33" t="s">
        <v>6</v>
      </c>
      <c r="F50" s="33" t="s">
        <v>25</v>
      </c>
      <c r="G50" s="33" t="s">
        <v>6</v>
      </c>
      <c r="H50" s="33" t="s">
        <v>6</v>
      </c>
      <c r="I50" s="33" t="s">
        <v>6</v>
      </c>
      <c r="J50" s="33" t="s">
        <v>6</v>
      </c>
      <c r="K50" s="33" t="s">
        <v>9</v>
      </c>
      <c r="L50" s="33" t="s">
        <v>10</v>
      </c>
      <c r="M50" s="33" t="s">
        <v>25</v>
      </c>
      <c r="N50" s="33" t="s">
        <v>6</v>
      </c>
      <c r="O50" s="33" t="s">
        <v>6</v>
      </c>
      <c r="P50" s="33" t="s">
        <v>6</v>
      </c>
      <c r="Q50" s="33" t="s">
        <v>6</v>
      </c>
      <c r="R50" s="33" t="s">
        <v>6</v>
      </c>
      <c r="S50" s="33" t="s">
        <v>6</v>
      </c>
      <c r="T50" s="33" t="s">
        <v>25</v>
      </c>
      <c r="U50" s="33" t="s">
        <v>6</v>
      </c>
      <c r="V50" s="33" t="s">
        <v>6</v>
      </c>
      <c r="W50" s="33" t="s">
        <v>6</v>
      </c>
      <c r="X50" s="33" t="s">
        <v>6</v>
      </c>
      <c r="Y50" s="33" t="s">
        <v>6</v>
      </c>
      <c r="Z50" s="33" t="s">
        <v>6</v>
      </c>
      <c r="AA50" s="33" t="s">
        <v>25</v>
      </c>
      <c r="AB50" s="33" t="s">
        <v>6</v>
      </c>
      <c r="AC50" s="33" t="s">
        <v>6</v>
      </c>
      <c r="AD50" s="33" t="s">
        <v>6</v>
      </c>
      <c r="AE50" s="33" t="s">
        <v>6</v>
      </c>
      <c r="AF50" s="33" t="s">
        <v>6</v>
      </c>
      <c r="AG50" s="33" t="s">
        <v>6</v>
      </c>
      <c r="AH50" s="33" t="s">
        <v>25</v>
      </c>
      <c r="AI50" s="33">
        <f t="shared" si="4"/>
        <v>24</v>
      </c>
      <c r="AJ50" s="33">
        <f t="shared" si="5"/>
        <v>0</v>
      </c>
      <c r="AK50" s="33">
        <f t="shared" si="6"/>
        <v>0</v>
      </c>
      <c r="AL50" s="33">
        <f t="shared" si="7"/>
        <v>1</v>
      </c>
      <c r="AM50" s="33">
        <f t="shared" si="8"/>
        <v>1</v>
      </c>
      <c r="AN50" s="33">
        <f t="shared" si="9"/>
        <v>0</v>
      </c>
      <c r="AO50" s="33">
        <f t="shared" si="10"/>
        <v>0</v>
      </c>
      <c r="AP50" s="33">
        <f t="shared" si="11"/>
        <v>0</v>
      </c>
      <c r="AQ50" s="33">
        <v>1.0</v>
      </c>
      <c r="AR50" s="33">
        <f t="shared" si="12"/>
        <v>0</v>
      </c>
      <c r="AS50" s="33">
        <v>2.0</v>
      </c>
      <c r="AT50" s="33">
        <f t="shared" si="13"/>
        <v>0</v>
      </c>
      <c r="AU50" s="33">
        <v>2.0</v>
      </c>
      <c r="AV50" s="34">
        <f t="shared" si="14"/>
        <v>26</v>
      </c>
      <c r="AW50" s="34">
        <f t="shared" si="15"/>
        <v>26</v>
      </c>
      <c r="AX50" s="59"/>
    </row>
    <row r="51" ht="15.75" customHeight="1">
      <c r="A51" s="1"/>
      <c r="B51" s="69" t="s">
        <v>109</v>
      </c>
      <c r="C51" s="35" t="str">
        <f t="shared" si="3"/>
        <v>October</v>
      </c>
      <c r="D51" s="36" t="s">
        <v>6</v>
      </c>
      <c r="E51" s="36" t="s">
        <v>6</v>
      </c>
      <c r="F51" s="36" t="s">
        <v>25</v>
      </c>
      <c r="G51" s="36" t="s">
        <v>6</v>
      </c>
      <c r="H51" s="36" t="s">
        <v>6</v>
      </c>
      <c r="I51" s="36" t="s">
        <v>6</v>
      </c>
      <c r="J51" s="36" t="s">
        <v>6</v>
      </c>
      <c r="K51" s="36" t="s">
        <v>9</v>
      </c>
      <c r="L51" s="36" t="s">
        <v>10</v>
      </c>
      <c r="M51" s="36" t="s">
        <v>25</v>
      </c>
      <c r="N51" s="36" t="s">
        <v>6</v>
      </c>
      <c r="O51" s="36" t="s">
        <v>6</v>
      </c>
      <c r="P51" s="36" t="s">
        <v>6</v>
      </c>
      <c r="Q51" s="36" t="s">
        <v>6</v>
      </c>
      <c r="R51" s="36" t="s">
        <v>6</v>
      </c>
      <c r="S51" s="36" t="s">
        <v>6</v>
      </c>
      <c r="T51" s="36" t="s">
        <v>25</v>
      </c>
      <c r="U51" s="36" t="s">
        <v>6</v>
      </c>
      <c r="V51" s="36" t="s">
        <v>6</v>
      </c>
      <c r="W51" s="36" t="s">
        <v>6</v>
      </c>
      <c r="X51" s="36" t="s">
        <v>6</v>
      </c>
      <c r="Y51" s="36" t="s">
        <v>6</v>
      </c>
      <c r="Z51" s="36" t="s">
        <v>6</v>
      </c>
      <c r="AA51" s="36" t="s">
        <v>25</v>
      </c>
      <c r="AB51" s="36" t="s">
        <v>6</v>
      </c>
      <c r="AC51" s="36" t="s">
        <v>6</v>
      </c>
      <c r="AD51" s="36" t="s">
        <v>6</v>
      </c>
      <c r="AE51" s="36" t="s">
        <v>6</v>
      </c>
      <c r="AF51" s="36" t="s">
        <v>6</v>
      </c>
      <c r="AG51" s="36" t="s">
        <v>6</v>
      </c>
      <c r="AH51" s="36" t="s">
        <v>25</v>
      </c>
      <c r="AI51" s="36">
        <f t="shared" si="4"/>
        <v>24</v>
      </c>
      <c r="AJ51" s="36">
        <f t="shared" si="5"/>
        <v>0</v>
      </c>
      <c r="AK51" s="36">
        <f t="shared" si="6"/>
        <v>0</v>
      </c>
      <c r="AL51" s="36">
        <f t="shared" si="7"/>
        <v>1</v>
      </c>
      <c r="AM51" s="36">
        <f t="shared" si="8"/>
        <v>1</v>
      </c>
      <c r="AN51" s="36">
        <f t="shared" si="9"/>
        <v>0</v>
      </c>
      <c r="AO51" s="36">
        <f t="shared" si="10"/>
        <v>0</v>
      </c>
      <c r="AP51" s="36">
        <f t="shared" si="11"/>
        <v>0</v>
      </c>
      <c r="AQ51" s="36">
        <v>1.0</v>
      </c>
      <c r="AR51" s="36">
        <f t="shared" si="12"/>
        <v>0</v>
      </c>
      <c r="AS51" s="36">
        <v>2.0</v>
      </c>
      <c r="AT51" s="36">
        <f t="shared" si="13"/>
        <v>0</v>
      </c>
      <c r="AU51" s="36">
        <v>2.0</v>
      </c>
      <c r="AV51" s="37">
        <f t="shared" si="14"/>
        <v>26</v>
      </c>
      <c r="AW51" s="37">
        <f t="shared" si="15"/>
        <v>26</v>
      </c>
      <c r="AX51" s="58"/>
    </row>
    <row r="52" ht="15.75" customHeight="1">
      <c r="A52" s="1"/>
      <c r="B52" s="66" t="s">
        <v>111</v>
      </c>
      <c r="C52" s="32" t="str">
        <f t="shared" si="3"/>
        <v>October</v>
      </c>
      <c r="D52" s="33" t="s">
        <v>6</v>
      </c>
      <c r="E52" s="33" t="s">
        <v>6</v>
      </c>
      <c r="F52" s="33" t="s">
        <v>25</v>
      </c>
      <c r="G52" s="33" t="s">
        <v>6</v>
      </c>
      <c r="H52" s="33" t="s">
        <v>6</v>
      </c>
      <c r="I52" s="33" t="s">
        <v>6</v>
      </c>
      <c r="J52" s="33" t="s">
        <v>6</v>
      </c>
      <c r="K52" s="33" t="s">
        <v>9</v>
      </c>
      <c r="L52" s="33" t="s">
        <v>10</v>
      </c>
      <c r="M52" s="33" t="s">
        <v>25</v>
      </c>
      <c r="N52" s="33" t="s">
        <v>6</v>
      </c>
      <c r="O52" s="33" t="s">
        <v>6</v>
      </c>
      <c r="P52" s="33" t="s">
        <v>6</v>
      </c>
      <c r="Q52" s="33" t="s">
        <v>6</v>
      </c>
      <c r="R52" s="33" t="s">
        <v>6</v>
      </c>
      <c r="S52" s="33" t="s">
        <v>6</v>
      </c>
      <c r="T52" s="33" t="s">
        <v>25</v>
      </c>
      <c r="U52" s="33" t="s">
        <v>6</v>
      </c>
      <c r="V52" s="33" t="s">
        <v>6</v>
      </c>
      <c r="W52" s="33" t="s">
        <v>6</v>
      </c>
      <c r="X52" s="33" t="s">
        <v>6</v>
      </c>
      <c r="Y52" s="33" t="s">
        <v>6</v>
      </c>
      <c r="Z52" s="33" t="s">
        <v>6</v>
      </c>
      <c r="AA52" s="33" t="s">
        <v>25</v>
      </c>
      <c r="AB52" s="33" t="s">
        <v>6</v>
      </c>
      <c r="AC52" s="33" t="s">
        <v>6</v>
      </c>
      <c r="AD52" s="33" t="s">
        <v>6</v>
      </c>
      <c r="AE52" s="33" t="s">
        <v>6</v>
      </c>
      <c r="AF52" s="33" t="s">
        <v>6</v>
      </c>
      <c r="AG52" s="33" t="s">
        <v>6</v>
      </c>
      <c r="AH52" s="33" t="s">
        <v>25</v>
      </c>
      <c r="AI52" s="33">
        <f t="shared" si="4"/>
        <v>24</v>
      </c>
      <c r="AJ52" s="33">
        <f t="shared" si="5"/>
        <v>0</v>
      </c>
      <c r="AK52" s="33">
        <f t="shared" si="6"/>
        <v>0</v>
      </c>
      <c r="AL52" s="33">
        <f t="shared" si="7"/>
        <v>1</v>
      </c>
      <c r="AM52" s="33">
        <f t="shared" si="8"/>
        <v>1</v>
      </c>
      <c r="AN52" s="33">
        <f t="shared" si="9"/>
        <v>0</v>
      </c>
      <c r="AO52" s="33">
        <f t="shared" si="10"/>
        <v>0</v>
      </c>
      <c r="AP52" s="33">
        <f t="shared" si="11"/>
        <v>0</v>
      </c>
      <c r="AQ52" s="33">
        <v>1.0</v>
      </c>
      <c r="AR52" s="33">
        <f t="shared" si="12"/>
        <v>0</v>
      </c>
      <c r="AS52" s="33">
        <v>2.0</v>
      </c>
      <c r="AT52" s="33">
        <f t="shared" si="13"/>
        <v>0</v>
      </c>
      <c r="AU52" s="33">
        <v>2.0</v>
      </c>
      <c r="AV52" s="34">
        <f t="shared" si="14"/>
        <v>26</v>
      </c>
      <c r="AW52" s="34">
        <f t="shared" si="15"/>
        <v>26</v>
      </c>
      <c r="AX52" s="59"/>
    </row>
    <row r="53" ht="15.75" customHeight="1">
      <c r="A53" s="1"/>
      <c r="B53" s="69" t="s">
        <v>113</v>
      </c>
      <c r="C53" s="35" t="str">
        <f t="shared" si="3"/>
        <v>October</v>
      </c>
      <c r="D53" s="36" t="s">
        <v>6</v>
      </c>
      <c r="E53" s="36" t="s">
        <v>6</v>
      </c>
      <c r="F53" s="36" t="s">
        <v>25</v>
      </c>
      <c r="G53" s="36" t="s">
        <v>6</v>
      </c>
      <c r="H53" s="36" t="s">
        <v>6</v>
      </c>
      <c r="I53" s="36" t="s">
        <v>6</v>
      </c>
      <c r="J53" s="36" t="s">
        <v>6</v>
      </c>
      <c r="K53" s="36" t="s">
        <v>9</v>
      </c>
      <c r="L53" s="36" t="s">
        <v>10</v>
      </c>
      <c r="M53" s="36" t="s">
        <v>25</v>
      </c>
      <c r="N53" s="36" t="s">
        <v>6</v>
      </c>
      <c r="O53" s="36" t="s">
        <v>6</v>
      </c>
      <c r="P53" s="36" t="s">
        <v>6</v>
      </c>
      <c r="Q53" s="36" t="s">
        <v>6</v>
      </c>
      <c r="R53" s="36" t="s">
        <v>6</v>
      </c>
      <c r="S53" s="36" t="s">
        <v>6</v>
      </c>
      <c r="T53" s="36" t="s">
        <v>25</v>
      </c>
      <c r="U53" s="36" t="s">
        <v>6</v>
      </c>
      <c r="V53" s="36" t="s">
        <v>6</v>
      </c>
      <c r="W53" s="36" t="s">
        <v>6</v>
      </c>
      <c r="X53" s="36" t="s">
        <v>6</v>
      </c>
      <c r="Y53" s="36" t="s">
        <v>6</v>
      </c>
      <c r="Z53" s="36" t="s">
        <v>6</v>
      </c>
      <c r="AA53" s="36" t="s">
        <v>25</v>
      </c>
      <c r="AB53" s="36" t="s">
        <v>6</v>
      </c>
      <c r="AC53" s="36" t="s">
        <v>6</v>
      </c>
      <c r="AD53" s="36" t="s">
        <v>6</v>
      </c>
      <c r="AE53" s="36" t="s">
        <v>6</v>
      </c>
      <c r="AF53" s="36" t="s">
        <v>6</v>
      </c>
      <c r="AG53" s="36" t="s">
        <v>6</v>
      </c>
      <c r="AH53" s="36" t="s">
        <v>25</v>
      </c>
      <c r="AI53" s="36">
        <f t="shared" si="4"/>
        <v>24</v>
      </c>
      <c r="AJ53" s="36">
        <f t="shared" si="5"/>
        <v>0</v>
      </c>
      <c r="AK53" s="36">
        <f t="shared" si="6"/>
        <v>0</v>
      </c>
      <c r="AL53" s="36">
        <f t="shared" si="7"/>
        <v>1</v>
      </c>
      <c r="AM53" s="36">
        <f t="shared" si="8"/>
        <v>1</v>
      </c>
      <c r="AN53" s="36">
        <f t="shared" si="9"/>
        <v>0</v>
      </c>
      <c r="AO53" s="36">
        <f t="shared" si="10"/>
        <v>0</v>
      </c>
      <c r="AP53" s="36">
        <f t="shared" si="11"/>
        <v>0</v>
      </c>
      <c r="AQ53" s="36">
        <v>1.0</v>
      </c>
      <c r="AR53" s="36">
        <f t="shared" si="12"/>
        <v>0</v>
      </c>
      <c r="AS53" s="36">
        <v>2.0</v>
      </c>
      <c r="AT53" s="36">
        <f t="shared" si="13"/>
        <v>0</v>
      </c>
      <c r="AU53" s="36">
        <v>2.0</v>
      </c>
      <c r="AV53" s="37">
        <f t="shared" si="14"/>
        <v>26</v>
      </c>
      <c r="AW53" s="37">
        <f t="shared" si="15"/>
        <v>26</v>
      </c>
      <c r="AX53" s="58"/>
    </row>
    <row r="54" ht="15.75" customHeight="1">
      <c r="A54" s="1"/>
      <c r="B54" s="66" t="s">
        <v>115</v>
      </c>
      <c r="C54" s="32" t="str">
        <f t="shared" si="3"/>
        <v>October</v>
      </c>
      <c r="D54" s="33" t="s">
        <v>6</v>
      </c>
      <c r="E54" s="33" t="s">
        <v>6</v>
      </c>
      <c r="F54" s="33" t="s">
        <v>25</v>
      </c>
      <c r="G54" s="33" t="s">
        <v>6</v>
      </c>
      <c r="H54" s="33" t="s">
        <v>6</v>
      </c>
      <c r="I54" s="33" t="s">
        <v>6</v>
      </c>
      <c r="J54" s="33" t="s">
        <v>6</v>
      </c>
      <c r="K54" s="33" t="s">
        <v>9</v>
      </c>
      <c r="L54" s="33" t="s">
        <v>10</v>
      </c>
      <c r="M54" s="33" t="s">
        <v>25</v>
      </c>
      <c r="N54" s="33" t="s">
        <v>6</v>
      </c>
      <c r="O54" s="33" t="s">
        <v>6</v>
      </c>
      <c r="P54" s="33" t="s">
        <v>6</v>
      </c>
      <c r="Q54" s="33" t="s">
        <v>6</v>
      </c>
      <c r="R54" s="33" t="s">
        <v>6</v>
      </c>
      <c r="S54" s="33" t="s">
        <v>6</v>
      </c>
      <c r="T54" s="33" t="s">
        <v>25</v>
      </c>
      <c r="U54" s="33" t="s">
        <v>6</v>
      </c>
      <c r="V54" s="33" t="s">
        <v>6</v>
      </c>
      <c r="W54" s="33" t="s">
        <v>6</v>
      </c>
      <c r="X54" s="33" t="s">
        <v>6</v>
      </c>
      <c r="Y54" s="33" t="s">
        <v>6</v>
      </c>
      <c r="Z54" s="33" t="s">
        <v>6</v>
      </c>
      <c r="AA54" s="33" t="s">
        <v>25</v>
      </c>
      <c r="AB54" s="33" t="s">
        <v>6</v>
      </c>
      <c r="AC54" s="33" t="s">
        <v>6</v>
      </c>
      <c r="AD54" s="33" t="s">
        <v>6</v>
      </c>
      <c r="AE54" s="33" t="s">
        <v>6</v>
      </c>
      <c r="AF54" s="33" t="s">
        <v>6</v>
      </c>
      <c r="AG54" s="33" t="s">
        <v>6</v>
      </c>
      <c r="AH54" s="33" t="s">
        <v>25</v>
      </c>
      <c r="AI54" s="33">
        <f t="shared" si="4"/>
        <v>24</v>
      </c>
      <c r="AJ54" s="33">
        <f t="shared" si="5"/>
        <v>0</v>
      </c>
      <c r="AK54" s="33">
        <f t="shared" si="6"/>
        <v>0</v>
      </c>
      <c r="AL54" s="33">
        <f t="shared" si="7"/>
        <v>1</v>
      </c>
      <c r="AM54" s="33">
        <f t="shared" si="8"/>
        <v>1</v>
      </c>
      <c r="AN54" s="33">
        <f t="shared" si="9"/>
        <v>0</v>
      </c>
      <c r="AO54" s="33">
        <f t="shared" si="10"/>
        <v>0</v>
      </c>
      <c r="AP54" s="33">
        <f t="shared" si="11"/>
        <v>0</v>
      </c>
      <c r="AQ54" s="33">
        <v>1.0</v>
      </c>
      <c r="AR54" s="33">
        <f t="shared" si="12"/>
        <v>0</v>
      </c>
      <c r="AS54" s="33">
        <v>2.0</v>
      </c>
      <c r="AT54" s="33">
        <f t="shared" si="13"/>
        <v>0</v>
      </c>
      <c r="AU54" s="33">
        <v>2.0</v>
      </c>
      <c r="AV54" s="34">
        <f t="shared" si="14"/>
        <v>26</v>
      </c>
      <c r="AW54" s="34">
        <f t="shared" si="15"/>
        <v>26</v>
      </c>
      <c r="AX54" s="59"/>
    </row>
    <row r="55" ht="15.75" customHeight="1">
      <c r="A55" s="1"/>
      <c r="B55" s="69" t="s">
        <v>117</v>
      </c>
      <c r="C55" s="35" t="str">
        <f t="shared" si="3"/>
        <v>October</v>
      </c>
      <c r="D55" s="36" t="s">
        <v>6</v>
      </c>
      <c r="E55" s="36" t="s">
        <v>6</v>
      </c>
      <c r="F55" s="36" t="s">
        <v>25</v>
      </c>
      <c r="G55" s="36" t="s">
        <v>6</v>
      </c>
      <c r="H55" s="36" t="s">
        <v>6</v>
      </c>
      <c r="I55" s="36" t="s">
        <v>6</v>
      </c>
      <c r="J55" s="36" t="s">
        <v>6</v>
      </c>
      <c r="K55" s="36" t="s">
        <v>9</v>
      </c>
      <c r="L55" s="36" t="s">
        <v>10</v>
      </c>
      <c r="M55" s="36" t="s">
        <v>25</v>
      </c>
      <c r="N55" s="36" t="s">
        <v>6</v>
      </c>
      <c r="O55" s="36" t="s">
        <v>6</v>
      </c>
      <c r="P55" s="36" t="s">
        <v>6</v>
      </c>
      <c r="Q55" s="36" t="s">
        <v>6</v>
      </c>
      <c r="R55" s="36" t="s">
        <v>6</v>
      </c>
      <c r="S55" s="36" t="s">
        <v>6</v>
      </c>
      <c r="T55" s="36" t="s">
        <v>25</v>
      </c>
      <c r="U55" s="36" t="s">
        <v>6</v>
      </c>
      <c r="V55" s="36" t="s">
        <v>6</v>
      </c>
      <c r="W55" s="36" t="s">
        <v>6</v>
      </c>
      <c r="X55" s="36" t="s">
        <v>6</v>
      </c>
      <c r="Y55" s="36" t="s">
        <v>6</v>
      </c>
      <c r="Z55" s="36" t="s">
        <v>6</v>
      </c>
      <c r="AA55" s="36" t="s">
        <v>25</v>
      </c>
      <c r="AB55" s="36" t="s">
        <v>6</v>
      </c>
      <c r="AC55" s="36" t="s">
        <v>6</v>
      </c>
      <c r="AD55" s="36" t="s">
        <v>6</v>
      </c>
      <c r="AE55" s="36" t="s">
        <v>6</v>
      </c>
      <c r="AF55" s="36" t="s">
        <v>6</v>
      </c>
      <c r="AG55" s="36" t="s">
        <v>6</v>
      </c>
      <c r="AH55" s="36" t="s">
        <v>25</v>
      </c>
      <c r="AI55" s="36">
        <f t="shared" si="4"/>
        <v>24</v>
      </c>
      <c r="AJ55" s="36">
        <f t="shared" si="5"/>
        <v>0</v>
      </c>
      <c r="AK55" s="36">
        <f t="shared" si="6"/>
        <v>0</v>
      </c>
      <c r="AL55" s="36">
        <f t="shared" si="7"/>
        <v>1</v>
      </c>
      <c r="AM55" s="36">
        <f t="shared" si="8"/>
        <v>1</v>
      </c>
      <c r="AN55" s="36">
        <f t="shared" si="9"/>
        <v>0</v>
      </c>
      <c r="AO55" s="36">
        <f t="shared" si="10"/>
        <v>0</v>
      </c>
      <c r="AP55" s="36">
        <f t="shared" si="11"/>
        <v>0</v>
      </c>
      <c r="AQ55" s="36">
        <v>1.0</v>
      </c>
      <c r="AR55" s="36">
        <f t="shared" si="12"/>
        <v>0</v>
      </c>
      <c r="AS55" s="36">
        <v>2.0</v>
      </c>
      <c r="AT55" s="36">
        <f t="shared" si="13"/>
        <v>0</v>
      </c>
      <c r="AU55" s="36">
        <v>2.0</v>
      </c>
      <c r="AV55" s="37">
        <f t="shared" si="14"/>
        <v>26</v>
      </c>
      <c r="AW55" s="37">
        <f t="shared" si="15"/>
        <v>26</v>
      </c>
      <c r="AX55" s="58"/>
    </row>
    <row r="56" ht="15.75" customHeight="1">
      <c r="A56" s="1"/>
      <c r="B56" s="66" t="s">
        <v>119</v>
      </c>
      <c r="C56" s="32" t="str">
        <f t="shared" si="3"/>
        <v>October</v>
      </c>
      <c r="D56" s="33" t="s">
        <v>6</v>
      </c>
      <c r="E56" s="33" t="s">
        <v>6</v>
      </c>
      <c r="F56" s="33" t="s">
        <v>25</v>
      </c>
      <c r="G56" s="33" t="s">
        <v>6</v>
      </c>
      <c r="H56" s="33" t="s">
        <v>6</v>
      </c>
      <c r="I56" s="33" t="s">
        <v>6</v>
      </c>
      <c r="J56" s="33" t="s">
        <v>6</v>
      </c>
      <c r="K56" s="33" t="s">
        <v>9</v>
      </c>
      <c r="L56" s="33" t="s">
        <v>10</v>
      </c>
      <c r="M56" s="33" t="s">
        <v>25</v>
      </c>
      <c r="N56" s="33" t="s">
        <v>6</v>
      </c>
      <c r="O56" s="33" t="s">
        <v>6</v>
      </c>
      <c r="P56" s="33" t="s">
        <v>6</v>
      </c>
      <c r="Q56" s="33" t="s">
        <v>6</v>
      </c>
      <c r="R56" s="33" t="s">
        <v>6</v>
      </c>
      <c r="S56" s="33" t="s">
        <v>6</v>
      </c>
      <c r="T56" s="33" t="s">
        <v>25</v>
      </c>
      <c r="U56" s="33" t="s">
        <v>6</v>
      </c>
      <c r="V56" s="33" t="s">
        <v>6</v>
      </c>
      <c r="W56" s="33" t="s">
        <v>6</v>
      </c>
      <c r="X56" s="33" t="s">
        <v>6</v>
      </c>
      <c r="Y56" s="33" t="s">
        <v>6</v>
      </c>
      <c r="Z56" s="33" t="s">
        <v>6</v>
      </c>
      <c r="AA56" s="33" t="s">
        <v>25</v>
      </c>
      <c r="AB56" s="33" t="s">
        <v>6</v>
      </c>
      <c r="AC56" s="33" t="s">
        <v>6</v>
      </c>
      <c r="AD56" s="33" t="s">
        <v>6</v>
      </c>
      <c r="AE56" s="33" t="s">
        <v>6</v>
      </c>
      <c r="AF56" s="33" t="s">
        <v>6</v>
      </c>
      <c r="AG56" s="33" t="s">
        <v>6</v>
      </c>
      <c r="AH56" s="33" t="s">
        <v>25</v>
      </c>
      <c r="AI56" s="33">
        <f t="shared" si="4"/>
        <v>24</v>
      </c>
      <c r="AJ56" s="33">
        <f t="shared" si="5"/>
        <v>0</v>
      </c>
      <c r="AK56" s="33">
        <f t="shared" si="6"/>
        <v>0</v>
      </c>
      <c r="AL56" s="33">
        <f t="shared" si="7"/>
        <v>1</v>
      </c>
      <c r="AM56" s="33">
        <f t="shared" si="8"/>
        <v>1</v>
      </c>
      <c r="AN56" s="33">
        <f t="shared" si="9"/>
        <v>0</v>
      </c>
      <c r="AO56" s="33">
        <f t="shared" si="10"/>
        <v>0</v>
      </c>
      <c r="AP56" s="33">
        <f t="shared" si="11"/>
        <v>0</v>
      </c>
      <c r="AQ56" s="33">
        <v>1.0</v>
      </c>
      <c r="AR56" s="33">
        <f t="shared" si="12"/>
        <v>0</v>
      </c>
      <c r="AS56" s="33">
        <v>2.0</v>
      </c>
      <c r="AT56" s="33">
        <f t="shared" si="13"/>
        <v>0</v>
      </c>
      <c r="AU56" s="33">
        <v>2.0</v>
      </c>
      <c r="AV56" s="34">
        <f t="shared" si="14"/>
        <v>26</v>
      </c>
      <c r="AW56" s="34">
        <f t="shared" si="15"/>
        <v>26</v>
      </c>
      <c r="AX56" s="59"/>
    </row>
    <row r="57" ht="15.75" customHeight="1">
      <c r="A57" s="1"/>
      <c r="B57" s="69" t="s">
        <v>121</v>
      </c>
      <c r="C57" s="35" t="str">
        <f t="shared" si="3"/>
        <v>October</v>
      </c>
      <c r="D57" s="36" t="s">
        <v>6</v>
      </c>
      <c r="E57" s="36" t="s">
        <v>6</v>
      </c>
      <c r="F57" s="36" t="s">
        <v>25</v>
      </c>
      <c r="G57" s="36" t="s">
        <v>6</v>
      </c>
      <c r="H57" s="36" t="s">
        <v>6</v>
      </c>
      <c r="I57" s="36" t="s">
        <v>6</v>
      </c>
      <c r="J57" s="36" t="s">
        <v>6</v>
      </c>
      <c r="K57" s="36" t="s">
        <v>9</v>
      </c>
      <c r="L57" s="36" t="s">
        <v>10</v>
      </c>
      <c r="M57" s="36" t="s">
        <v>25</v>
      </c>
      <c r="N57" s="36" t="s">
        <v>6</v>
      </c>
      <c r="O57" s="36" t="s">
        <v>6</v>
      </c>
      <c r="P57" s="36" t="s">
        <v>6</v>
      </c>
      <c r="Q57" s="36" t="s">
        <v>6</v>
      </c>
      <c r="R57" s="36" t="s">
        <v>6</v>
      </c>
      <c r="S57" s="36" t="s">
        <v>6</v>
      </c>
      <c r="T57" s="36" t="s">
        <v>25</v>
      </c>
      <c r="U57" s="36" t="s">
        <v>6</v>
      </c>
      <c r="V57" s="36" t="s">
        <v>6</v>
      </c>
      <c r="W57" s="36" t="s">
        <v>6</v>
      </c>
      <c r="X57" s="36" t="s">
        <v>6</v>
      </c>
      <c r="Y57" s="36" t="s">
        <v>6</v>
      </c>
      <c r="Z57" s="36" t="s">
        <v>6</v>
      </c>
      <c r="AA57" s="36" t="s">
        <v>25</v>
      </c>
      <c r="AB57" s="36" t="s">
        <v>6</v>
      </c>
      <c r="AC57" s="36" t="s">
        <v>6</v>
      </c>
      <c r="AD57" s="36" t="s">
        <v>6</v>
      </c>
      <c r="AE57" s="36" t="s">
        <v>6</v>
      </c>
      <c r="AF57" s="36" t="s">
        <v>6</v>
      </c>
      <c r="AG57" s="36" t="s">
        <v>6</v>
      </c>
      <c r="AH57" s="36" t="s">
        <v>25</v>
      </c>
      <c r="AI57" s="36">
        <f t="shared" si="4"/>
        <v>24</v>
      </c>
      <c r="AJ57" s="36">
        <f t="shared" si="5"/>
        <v>0</v>
      </c>
      <c r="AK57" s="36">
        <f t="shared" si="6"/>
        <v>0</v>
      </c>
      <c r="AL57" s="36">
        <f t="shared" si="7"/>
        <v>1</v>
      </c>
      <c r="AM57" s="36">
        <f t="shared" si="8"/>
        <v>1</v>
      </c>
      <c r="AN57" s="36">
        <f t="shared" si="9"/>
        <v>0</v>
      </c>
      <c r="AO57" s="36">
        <f t="shared" si="10"/>
        <v>0</v>
      </c>
      <c r="AP57" s="36">
        <f t="shared" si="11"/>
        <v>0</v>
      </c>
      <c r="AQ57" s="36">
        <v>1.0</v>
      </c>
      <c r="AR57" s="36">
        <f t="shared" si="12"/>
        <v>0</v>
      </c>
      <c r="AS57" s="36">
        <v>2.0</v>
      </c>
      <c r="AT57" s="36">
        <f t="shared" si="13"/>
        <v>0</v>
      </c>
      <c r="AU57" s="36">
        <v>2.0</v>
      </c>
      <c r="AV57" s="37">
        <f t="shared" si="14"/>
        <v>26</v>
      </c>
      <c r="AW57" s="37">
        <f t="shared" si="15"/>
        <v>26</v>
      </c>
      <c r="AX57" s="58"/>
    </row>
    <row r="58" ht="15.75" customHeight="1">
      <c r="A58" s="1"/>
      <c r="B58" s="66" t="s">
        <v>123</v>
      </c>
      <c r="C58" s="32" t="str">
        <f t="shared" si="3"/>
        <v>October</v>
      </c>
      <c r="D58" s="33" t="s">
        <v>6</v>
      </c>
      <c r="E58" s="33" t="s">
        <v>6</v>
      </c>
      <c r="F58" s="33" t="s">
        <v>25</v>
      </c>
      <c r="G58" s="33" t="s">
        <v>6</v>
      </c>
      <c r="H58" s="33" t="s">
        <v>6</v>
      </c>
      <c r="I58" s="33" t="s">
        <v>6</v>
      </c>
      <c r="J58" s="33" t="s">
        <v>6</v>
      </c>
      <c r="K58" s="33" t="s">
        <v>9</v>
      </c>
      <c r="L58" s="33" t="s">
        <v>10</v>
      </c>
      <c r="M58" s="33" t="s">
        <v>25</v>
      </c>
      <c r="N58" s="33" t="s">
        <v>6</v>
      </c>
      <c r="O58" s="33" t="s">
        <v>6</v>
      </c>
      <c r="P58" s="33" t="s">
        <v>6</v>
      </c>
      <c r="Q58" s="33" t="s">
        <v>6</v>
      </c>
      <c r="R58" s="33" t="s">
        <v>6</v>
      </c>
      <c r="S58" s="33" t="s">
        <v>6</v>
      </c>
      <c r="T58" s="33" t="s">
        <v>25</v>
      </c>
      <c r="U58" s="33" t="s">
        <v>6</v>
      </c>
      <c r="V58" s="33" t="s">
        <v>6</v>
      </c>
      <c r="W58" s="33" t="s">
        <v>6</v>
      </c>
      <c r="X58" s="33" t="s">
        <v>6</v>
      </c>
      <c r="Y58" s="33" t="s">
        <v>6</v>
      </c>
      <c r="Z58" s="33" t="s">
        <v>6</v>
      </c>
      <c r="AA58" s="33" t="s">
        <v>25</v>
      </c>
      <c r="AB58" s="33" t="s">
        <v>6</v>
      </c>
      <c r="AC58" s="33" t="s">
        <v>6</v>
      </c>
      <c r="AD58" s="33" t="s">
        <v>6</v>
      </c>
      <c r="AE58" s="33" t="s">
        <v>6</v>
      </c>
      <c r="AF58" s="33" t="s">
        <v>6</v>
      </c>
      <c r="AG58" s="33" t="s">
        <v>6</v>
      </c>
      <c r="AH58" s="33" t="s">
        <v>25</v>
      </c>
      <c r="AI58" s="33">
        <f t="shared" si="4"/>
        <v>24</v>
      </c>
      <c r="AJ58" s="33">
        <f t="shared" si="5"/>
        <v>0</v>
      </c>
      <c r="AK58" s="33">
        <f t="shared" si="6"/>
        <v>0</v>
      </c>
      <c r="AL58" s="33">
        <f t="shared" si="7"/>
        <v>1</v>
      </c>
      <c r="AM58" s="33">
        <f t="shared" si="8"/>
        <v>1</v>
      </c>
      <c r="AN58" s="33">
        <f t="shared" si="9"/>
        <v>0</v>
      </c>
      <c r="AO58" s="33">
        <f t="shared" si="10"/>
        <v>0</v>
      </c>
      <c r="AP58" s="33">
        <f t="shared" si="11"/>
        <v>0</v>
      </c>
      <c r="AQ58" s="33">
        <v>1.0</v>
      </c>
      <c r="AR58" s="33">
        <f t="shared" si="12"/>
        <v>0</v>
      </c>
      <c r="AS58" s="33">
        <v>2.0</v>
      </c>
      <c r="AT58" s="33">
        <f t="shared" si="13"/>
        <v>0</v>
      </c>
      <c r="AU58" s="33">
        <v>2.0</v>
      </c>
      <c r="AV58" s="34">
        <f t="shared" si="14"/>
        <v>26</v>
      </c>
      <c r="AW58" s="34">
        <f t="shared" si="15"/>
        <v>26</v>
      </c>
      <c r="AX58" s="59"/>
    </row>
    <row r="59" ht="15.75" customHeight="1">
      <c r="A59" s="1"/>
      <c r="B59" s="70"/>
      <c r="C59" s="70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2"/>
      <c r="AI59" s="72"/>
      <c r="AJ59" s="72"/>
      <c r="AK59" s="72"/>
      <c r="AL59" s="72"/>
      <c r="AM59" s="72"/>
      <c r="AN59" s="72"/>
      <c r="AO59" s="73"/>
      <c r="AP59" s="73"/>
      <c r="AQ59" s="73"/>
      <c r="AR59" s="73"/>
      <c r="AS59" s="73"/>
      <c r="AT59" s="73"/>
      <c r="AU59" s="73"/>
      <c r="AV59" s="72"/>
      <c r="AW59" s="72"/>
      <c r="AX59" s="1"/>
    </row>
    <row r="60" ht="15.75" customHeight="1">
      <c r="A60" s="1"/>
      <c r="B60" s="74"/>
      <c r="C60" s="75"/>
      <c r="D60" s="76">
        <f t="shared" ref="D60:AH60" si="16">COUNTIF(D9:D58,"P")</f>
        <v>50</v>
      </c>
      <c r="E60" s="76">
        <f t="shared" si="16"/>
        <v>50</v>
      </c>
      <c r="F60" s="76">
        <f t="shared" si="16"/>
        <v>1</v>
      </c>
      <c r="G60" s="76">
        <f t="shared" si="16"/>
        <v>49</v>
      </c>
      <c r="H60" s="76">
        <f t="shared" si="16"/>
        <v>44</v>
      </c>
      <c r="I60" s="76">
        <f t="shared" si="16"/>
        <v>48</v>
      </c>
      <c r="J60" s="76">
        <f t="shared" si="16"/>
        <v>49</v>
      </c>
      <c r="K60" s="76">
        <f t="shared" si="16"/>
        <v>0</v>
      </c>
      <c r="L60" s="76">
        <f t="shared" si="16"/>
        <v>0</v>
      </c>
      <c r="M60" s="76">
        <f t="shared" si="16"/>
        <v>0</v>
      </c>
      <c r="N60" s="76">
        <f t="shared" si="16"/>
        <v>48</v>
      </c>
      <c r="O60" s="76">
        <f t="shared" si="16"/>
        <v>49</v>
      </c>
      <c r="P60" s="76">
        <f t="shared" si="16"/>
        <v>49</v>
      </c>
      <c r="Q60" s="76">
        <f t="shared" si="16"/>
        <v>49</v>
      </c>
      <c r="R60" s="76">
        <f t="shared" si="16"/>
        <v>49</v>
      </c>
      <c r="S60" s="76">
        <f t="shared" si="16"/>
        <v>50</v>
      </c>
      <c r="T60" s="76">
        <f t="shared" si="16"/>
        <v>0</v>
      </c>
      <c r="U60" s="76">
        <f t="shared" si="16"/>
        <v>48</v>
      </c>
      <c r="V60" s="76">
        <f t="shared" si="16"/>
        <v>46</v>
      </c>
      <c r="W60" s="76">
        <f t="shared" si="16"/>
        <v>48</v>
      </c>
      <c r="X60" s="76">
        <f t="shared" si="16"/>
        <v>48</v>
      </c>
      <c r="Y60" s="76">
        <f t="shared" si="16"/>
        <v>47</v>
      </c>
      <c r="Z60" s="76">
        <f t="shared" si="16"/>
        <v>49</v>
      </c>
      <c r="AA60" s="76">
        <f t="shared" si="16"/>
        <v>0</v>
      </c>
      <c r="AB60" s="76">
        <f t="shared" si="16"/>
        <v>48</v>
      </c>
      <c r="AC60" s="76">
        <f t="shared" si="16"/>
        <v>45</v>
      </c>
      <c r="AD60" s="76">
        <f t="shared" si="16"/>
        <v>45</v>
      </c>
      <c r="AE60" s="76">
        <f t="shared" si="16"/>
        <v>49</v>
      </c>
      <c r="AF60" s="76">
        <f t="shared" si="16"/>
        <v>47</v>
      </c>
      <c r="AG60" s="76">
        <f t="shared" si="16"/>
        <v>49</v>
      </c>
      <c r="AH60" s="76">
        <f t="shared" si="16"/>
        <v>0</v>
      </c>
      <c r="AI60" s="72"/>
      <c r="AJ60" s="72"/>
      <c r="AK60" s="72"/>
      <c r="AL60" s="72"/>
      <c r="AM60" s="72"/>
      <c r="AN60" s="72"/>
      <c r="AO60" s="77"/>
      <c r="AP60" s="77"/>
      <c r="AQ60" s="77"/>
      <c r="AR60" s="77"/>
      <c r="AS60" s="77"/>
      <c r="AT60" s="77"/>
      <c r="AU60" s="77"/>
      <c r="AV60" s="77"/>
      <c r="AW60" s="72"/>
      <c r="A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</sheetData>
  <mergeCells count="6">
    <mergeCell ref="B2:B3"/>
    <mergeCell ref="C2:AH2"/>
    <mergeCell ref="AI2:AW3"/>
    <mergeCell ref="C3:AH3"/>
    <mergeCell ref="AI6:AW7"/>
    <mergeCell ref="B60:C60"/>
  </mergeCells>
  <conditionalFormatting sqref="D6:AH58">
    <cfRule type="expression" dxfId="1" priority="1">
      <formula>D$6&gt;DAY(EOMONTH(DATE($B$6,$B$4,1),0))</formula>
    </cfRule>
  </conditionalFormatting>
  <conditionalFormatting sqref="D9:AH58">
    <cfRule type="expression" dxfId="3" priority="2">
      <formula>D$8="Sun"</formula>
    </cfRule>
  </conditionalFormatting>
  <dataValidations>
    <dataValidation type="list" allowBlank="1" showErrorMessage="1" sqref="B7">
      <formula1>C4:N4</formula1>
    </dataValidation>
    <dataValidation type="list" allowBlank="1" showErrorMessage="1" sqref="D59:AH59">
      <formula1>"P,A,HD,OT,SL,CL,NH,FH,T,ML,EL"</formula1>
    </dataValidation>
    <dataValidation type="list" allowBlank="1" showErrorMessage="1" sqref="D9:AH58">
      <formula1>"P,L,H,HD,SL,CL,NH,FH,T,ML,EL"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7.5"/>
    <col customWidth="1" min="3" max="4" width="12.13"/>
    <col customWidth="1" min="5" max="35" width="3.5"/>
    <col customWidth="1" min="36" max="36" width="2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"/>
    </row>
    <row r="2">
      <c r="A2" s="3"/>
      <c r="B2" s="78"/>
      <c r="C2" s="5"/>
      <c r="D2" s="6" t="s">
        <v>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8"/>
      <c r="AJ2" s="40"/>
    </row>
    <row r="3" ht="47.25" customHeight="1">
      <c r="A3" s="3"/>
      <c r="B3" s="12"/>
      <c r="C3" s="13"/>
      <c r="D3" s="42" t="s">
        <v>148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6"/>
      <c r="AJ3" s="40"/>
    </row>
    <row r="4" hidden="1">
      <c r="A4" s="1"/>
      <c r="B4" s="79"/>
      <c r="C4" s="79" t="str">
        <f>HLOOKUP(C9,$D$4:$N$5,2,0)</f>
        <v>#N/A</v>
      </c>
      <c r="D4" s="79" t="s">
        <v>24</v>
      </c>
      <c r="E4" s="80" t="s">
        <v>124</v>
      </c>
      <c r="F4" s="80" t="s">
        <v>125</v>
      </c>
      <c r="G4" s="80" t="s">
        <v>137</v>
      </c>
      <c r="H4" s="80" t="s">
        <v>138</v>
      </c>
      <c r="I4" s="80" t="s">
        <v>139</v>
      </c>
      <c r="J4" s="80" t="s">
        <v>140</v>
      </c>
      <c r="K4" s="80" t="s">
        <v>141</v>
      </c>
      <c r="L4" s="80" t="s">
        <v>142</v>
      </c>
      <c r="M4" s="80" t="s">
        <v>143</v>
      </c>
      <c r="N4" s="80" t="s">
        <v>144</v>
      </c>
      <c r="O4" s="80" t="s">
        <v>145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1"/>
    </row>
    <row r="5" hidden="1">
      <c r="A5" s="1"/>
      <c r="B5" s="81"/>
      <c r="C5" s="81"/>
      <c r="D5" s="82">
        <v>1.0</v>
      </c>
      <c r="E5" s="82">
        <v>2.0</v>
      </c>
      <c r="F5" s="82">
        <v>3.0</v>
      </c>
      <c r="G5" s="82">
        <v>4.0</v>
      </c>
      <c r="H5" s="82">
        <v>5.0</v>
      </c>
      <c r="I5" s="82">
        <v>6.0</v>
      </c>
      <c r="J5" s="82">
        <v>7.0</v>
      </c>
      <c r="K5" s="82">
        <v>8.0</v>
      </c>
      <c r="L5" s="82">
        <v>9.0</v>
      </c>
      <c r="M5" s="82">
        <v>10.0</v>
      </c>
      <c r="N5" s="82">
        <v>11.0</v>
      </c>
      <c r="O5" s="81">
        <v>12.0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1"/>
    </row>
    <row r="6">
      <c r="A6" s="1"/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1"/>
    </row>
    <row r="7">
      <c r="A7" s="1"/>
      <c r="B7" s="85" t="s">
        <v>127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1"/>
    </row>
    <row r="8" ht="16.5" customHeight="1">
      <c r="A8" s="1"/>
      <c r="B8" s="87" t="s">
        <v>149</v>
      </c>
      <c r="C8" s="87"/>
      <c r="D8" s="88"/>
      <c r="E8" s="89" t="s">
        <v>150</v>
      </c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1"/>
      <c r="AJ8" s="1"/>
    </row>
    <row r="9" ht="16.5" customHeight="1">
      <c r="A9" s="1"/>
      <c r="B9" s="92" t="s">
        <v>5</v>
      </c>
      <c r="C9" s="92"/>
      <c r="D9" s="93"/>
      <c r="E9" s="94" t="s">
        <v>151</v>
      </c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95"/>
      <c r="AJ9" s="1"/>
    </row>
    <row r="10" ht="16.5" customHeight="1">
      <c r="A10" s="1"/>
      <c r="B10" s="96" t="s">
        <v>3</v>
      </c>
      <c r="C10" s="97" t="s">
        <v>4</v>
      </c>
      <c r="D10" s="91"/>
      <c r="E10" s="96">
        <v>1.0</v>
      </c>
      <c r="F10" s="96">
        <v>2.0</v>
      </c>
      <c r="G10" s="96">
        <v>3.0</v>
      </c>
      <c r="H10" s="96">
        <v>4.0</v>
      </c>
      <c r="I10" s="96">
        <v>5.0</v>
      </c>
      <c r="J10" s="96">
        <v>6.0</v>
      </c>
      <c r="K10" s="96">
        <v>7.0</v>
      </c>
      <c r="L10" s="96">
        <v>8.0</v>
      </c>
      <c r="M10" s="96">
        <v>9.0</v>
      </c>
      <c r="N10" s="96">
        <v>10.0</v>
      </c>
      <c r="O10" s="96">
        <v>11.0</v>
      </c>
      <c r="P10" s="96">
        <v>12.0</v>
      </c>
      <c r="Q10" s="96">
        <v>13.0</v>
      </c>
      <c r="R10" s="96">
        <v>14.0</v>
      </c>
      <c r="S10" s="96">
        <v>15.0</v>
      </c>
      <c r="T10" s="96">
        <v>16.0</v>
      </c>
      <c r="U10" s="96">
        <v>17.0</v>
      </c>
      <c r="V10" s="96">
        <v>18.0</v>
      </c>
      <c r="W10" s="96">
        <v>19.0</v>
      </c>
      <c r="X10" s="96">
        <v>20.0</v>
      </c>
      <c r="Y10" s="96">
        <v>21.0</v>
      </c>
      <c r="Z10" s="96">
        <v>22.0</v>
      </c>
      <c r="AA10" s="96">
        <v>23.0</v>
      </c>
      <c r="AB10" s="96">
        <v>24.0</v>
      </c>
      <c r="AC10" s="96">
        <v>25.0</v>
      </c>
      <c r="AD10" s="96">
        <v>26.0</v>
      </c>
      <c r="AE10" s="96">
        <v>27.0</v>
      </c>
      <c r="AF10" s="96">
        <v>28.0</v>
      </c>
      <c r="AG10" s="96">
        <v>29.0</v>
      </c>
      <c r="AH10" s="96">
        <v>30.0</v>
      </c>
      <c r="AI10" s="96">
        <v>31.0</v>
      </c>
      <c r="AJ10" s="1"/>
    </row>
    <row r="11" ht="16.5" customHeight="1">
      <c r="A11" s="1"/>
      <c r="B11" s="98"/>
      <c r="C11" s="99"/>
      <c r="D11" s="100"/>
      <c r="E11" s="101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"/>
    </row>
    <row r="12" ht="16.5" customHeight="1">
      <c r="A12" s="1"/>
      <c r="B12" s="103"/>
      <c r="C12" s="104"/>
      <c r="D12" s="105"/>
      <c r="E12" s="106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"/>
    </row>
    <row r="13" ht="16.5" customHeight="1">
      <c r="A13" s="1"/>
      <c r="B13" s="108"/>
      <c r="C13" s="99"/>
      <c r="D13" s="100"/>
      <c r="E13" s="109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"/>
    </row>
    <row r="14" ht="16.5" customHeight="1">
      <c r="A14" s="1"/>
      <c r="B14" s="111"/>
      <c r="C14" s="104"/>
      <c r="D14" s="105"/>
      <c r="E14" s="106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"/>
    </row>
    <row r="15" ht="16.5" customHeight="1">
      <c r="A15" s="1"/>
      <c r="B15" s="108"/>
      <c r="C15" s="99"/>
      <c r="D15" s="100"/>
      <c r="E15" s="109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"/>
    </row>
    <row r="16" ht="16.5" customHeight="1">
      <c r="A16" s="1"/>
      <c r="B16" s="111"/>
      <c r="C16" s="104"/>
      <c r="D16" s="105"/>
      <c r="E16" s="106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"/>
    </row>
    <row r="17" ht="16.5" customHeight="1">
      <c r="A17" s="1"/>
      <c r="B17" s="108"/>
      <c r="C17" s="99"/>
      <c r="D17" s="100"/>
      <c r="E17" s="109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"/>
    </row>
    <row r="18" ht="16.5" customHeight="1">
      <c r="A18" s="1"/>
      <c r="B18" s="111"/>
      <c r="C18" s="104"/>
      <c r="D18" s="105"/>
      <c r="E18" s="106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"/>
    </row>
    <row r="19" ht="16.5" customHeight="1">
      <c r="A19" s="1"/>
      <c r="B19" s="108"/>
      <c r="C19" s="99"/>
      <c r="D19" s="100"/>
      <c r="E19" s="109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"/>
    </row>
    <row r="20" ht="16.5" customHeight="1">
      <c r="A20" s="1"/>
      <c r="B20" s="111"/>
      <c r="C20" s="104"/>
      <c r="D20" s="105"/>
      <c r="E20" s="106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"/>
    </row>
    <row r="21" ht="16.5" customHeight="1">
      <c r="A21" s="1"/>
      <c r="B21" s="108"/>
      <c r="C21" s="99"/>
      <c r="D21" s="100"/>
      <c r="E21" s="109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"/>
    </row>
    <row r="22" ht="16.5" customHeight="1">
      <c r="A22" s="1"/>
      <c r="B22" s="111"/>
      <c r="C22" s="104"/>
      <c r="D22" s="105"/>
      <c r="E22" s="106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"/>
    </row>
    <row r="23" ht="16.5" customHeight="1">
      <c r="A23" s="1"/>
      <c r="B23" s="108"/>
      <c r="C23" s="99"/>
      <c r="D23" s="100"/>
      <c r="E23" s="109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"/>
    </row>
    <row r="24" ht="16.5" customHeight="1">
      <c r="A24" s="1"/>
      <c r="B24" s="111"/>
      <c r="C24" s="104"/>
      <c r="D24" s="105"/>
      <c r="E24" s="106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"/>
    </row>
    <row r="25" ht="16.5" customHeight="1">
      <c r="A25" s="1"/>
      <c r="B25" s="108"/>
      <c r="C25" s="99"/>
      <c r="D25" s="100"/>
      <c r="E25" s="109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"/>
    </row>
    <row r="26" ht="16.5" customHeight="1">
      <c r="A26" s="1"/>
      <c r="B26" s="111"/>
      <c r="C26" s="104"/>
      <c r="D26" s="105"/>
      <c r="E26" s="106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"/>
    </row>
    <row r="27" ht="16.5" customHeight="1">
      <c r="A27" s="1"/>
      <c r="B27" s="108"/>
      <c r="C27" s="99"/>
      <c r="D27" s="100"/>
      <c r="E27" s="109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"/>
    </row>
    <row r="28" ht="16.5" customHeight="1">
      <c r="A28" s="1"/>
      <c r="B28" s="111"/>
      <c r="C28" s="104"/>
      <c r="D28" s="105"/>
      <c r="E28" s="106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"/>
    </row>
    <row r="29" ht="16.5" customHeight="1">
      <c r="A29" s="1"/>
      <c r="B29" s="108"/>
      <c r="C29" s="99"/>
      <c r="D29" s="100"/>
      <c r="E29" s="109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"/>
    </row>
    <row r="30" ht="16.5" customHeight="1">
      <c r="A30" s="1"/>
      <c r="B30" s="111"/>
      <c r="C30" s="104"/>
      <c r="D30" s="105"/>
      <c r="E30" s="106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"/>
    </row>
    <row r="31" ht="16.5" customHeight="1">
      <c r="A31" s="1"/>
      <c r="B31" s="108"/>
      <c r="C31" s="99"/>
      <c r="D31" s="100"/>
      <c r="E31" s="109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"/>
    </row>
    <row r="32" ht="16.5" customHeight="1">
      <c r="A32" s="1"/>
      <c r="B32" s="111"/>
      <c r="C32" s="104"/>
      <c r="D32" s="105"/>
      <c r="E32" s="106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"/>
    </row>
    <row r="33" ht="16.5" customHeight="1">
      <c r="A33" s="1"/>
      <c r="B33" s="108"/>
      <c r="C33" s="99"/>
      <c r="D33" s="100"/>
      <c r="E33" s="109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"/>
    </row>
    <row r="34" ht="16.5" customHeight="1">
      <c r="A34" s="1"/>
      <c r="B34" s="111"/>
      <c r="C34" s="104"/>
      <c r="D34" s="105"/>
      <c r="E34" s="106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"/>
    </row>
    <row r="35" ht="16.5" customHeight="1">
      <c r="A35" s="1"/>
      <c r="B35" s="108"/>
      <c r="C35" s="99"/>
      <c r="D35" s="100"/>
      <c r="E35" s="109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"/>
    </row>
    <row r="36" ht="16.5" customHeight="1">
      <c r="A36" s="1"/>
      <c r="B36" s="111"/>
      <c r="C36" s="104"/>
      <c r="D36" s="105"/>
      <c r="E36" s="106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"/>
    </row>
    <row r="37" ht="16.5" customHeight="1">
      <c r="A37" s="1"/>
      <c r="B37" s="108"/>
      <c r="C37" s="99"/>
      <c r="D37" s="100"/>
      <c r="E37" s="109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"/>
    </row>
    <row r="38" ht="16.5" customHeight="1">
      <c r="A38" s="1"/>
      <c r="B38" s="111"/>
      <c r="C38" s="104"/>
      <c r="D38" s="105"/>
      <c r="E38" s="106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"/>
    </row>
    <row r="39" ht="16.5" customHeight="1">
      <c r="A39" s="1"/>
      <c r="B39" s="108"/>
      <c r="C39" s="99"/>
      <c r="D39" s="100"/>
      <c r="E39" s="109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"/>
    </row>
    <row r="40" ht="16.5" customHeight="1">
      <c r="A40" s="1"/>
      <c r="B40" s="111"/>
      <c r="C40" s="104"/>
      <c r="D40" s="105"/>
      <c r="E40" s="106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"/>
    </row>
    <row r="41" ht="16.5" customHeight="1">
      <c r="A41" s="1"/>
      <c r="B41" s="108"/>
      <c r="C41" s="99"/>
      <c r="D41" s="100"/>
      <c r="E41" s="109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"/>
    </row>
    <row r="42" ht="16.5" customHeight="1">
      <c r="A42" s="1"/>
      <c r="B42" s="112"/>
      <c r="C42" s="91"/>
      <c r="D42" s="113" t="s">
        <v>152</v>
      </c>
      <c r="E42" s="87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</sheetData>
  <mergeCells count="41">
    <mergeCell ref="B2:C3"/>
    <mergeCell ref="D2:AI2"/>
    <mergeCell ref="D3:AI3"/>
    <mergeCell ref="B6:AI6"/>
    <mergeCell ref="B7:AI7"/>
    <mergeCell ref="E8:AI8"/>
    <mergeCell ref="E9:AI9"/>
    <mergeCell ref="D8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7:D37"/>
    <mergeCell ref="C38:D38"/>
    <mergeCell ref="C39:D39"/>
    <mergeCell ref="C40:D40"/>
    <mergeCell ref="C41:D41"/>
    <mergeCell ref="B42:C42"/>
    <mergeCell ref="C30:D30"/>
    <mergeCell ref="C31:D31"/>
    <mergeCell ref="C32:D32"/>
    <mergeCell ref="C33:D33"/>
    <mergeCell ref="C34:D34"/>
    <mergeCell ref="C35:D35"/>
    <mergeCell ref="C36:D36"/>
  </mergeCells>
  <printOptions horizontalCentered="1"/>
  <pageMargins bottom="0.1968503937007874" footer="0.0" header="0.0" left="0.1968503937007874" right="0.1968503937007874" top="0.3937007874015748"/>
  <pageSetup paperSize="9" orientation="landscape"/>
  <headerFooter>
    <oddFooter>&amp;LPrintable Monthly Attendance&amp;RPrepared By: MSOfficeGeek.com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25"/>
  </cols>
  <sheetData>
    <row r="1">
      <c r="A1" s="115" t="s">
        <v>6</v>
      </c>
      <c r="B1" s="116" t="s">
        <v>153</v>
      </c>
    </row>
    <row r="2">
      <c r="A2" s="115" t="s">
        <v>7</v>
      </c>
      <c r="B2" s="116" t="s">
        <v>154</v>
      </c>
    </row>
    <row r="3">
      <c r="A3" s="115" t="s">
        <v>8</v>
      </c>
      <c r="B3" s="116" t="s">
        <v>155</v>
      </c>
    </row>
    <row r="4">
      <c r="A4" s="115" t="s">
        <v>13</v>
      </c>
      <c r="B4" s="116" t="s">
        <v>156</v>
      </c>
    </row>
    <row r="5">
      <c r="A5" s="115" t="s">
        <v>17</v>
      </c>
      <c r="B5" s="116" t="s">
        <v>157</v>
      </c>
    </row>
    <row r="6">
      <c r="A6" s="115" t="s">
        <v>15</v>
      </c>
      <c r="B6" s="116" t="s">
        <v>158</v>
      </c>
    </row>
    <row r="7">
      <c r="A7" s="115" t="s">
        <v>25</v>
      </c>
      <c r="B7" s="116" t="s">
        <v>159</v>
      </c>
    </row>
    <row r="8">
      <c r="A8" s="115" t="s">
        <v>11</v>
      </c>
      <c r="B8" s="116" t="s">
        <v>160</v>
      </c>
    </row>
    <row r="9">
      <c r="A9" s="115" t="s">
        <v>9</v>
      </c>
      <c r="B9" s="116" t="s">
        <v>161</v>
      </c>
    </row>
    <row r="10">
      <c r="A10" s="115" t="s">
        <v>10</v>
      </c>
      <c r="B10" s="116" t="s">
        <v>162</v>
      </c>
    </row>
    <row r="11">
      <c r="A11" s="115" t="s">
        <v>12</v>
      </c>
      <c r="B11" s="116" t="s">
        <v>163</v>
      </c>
    </row>
  </sheetData>
  <drawing r:id="rId1"/>
</worksheet>
</file>